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Props/app.xml" ContentType="application/vnd.openxmlformats-officedocument.extended-properties+xml"/>
  <Override PartName="/xl/tables/table18.xml" ContentType="application/vnd.openxmlformats-officedocument.spreadsheetml.table+xml"/>
  <Override PartName="/xl/tables/table17.xml" ContentType="application/vnd.openxmlformats-officedocument.spreadsheetml.table+xml"/>
  <Override PartName="/xl/tables/table16.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19.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https://officenationalstatistics.sharepoint.com/sites/genmort/Regular_outputs/Weekly_deaths/In_progress/"/>
    </mc:Choice>
  </mc:AlternateContent>
  <xr:revisionPtr revIDLastSave="6" documentId="11_4571BD892B655A6378E4B70E752E6A90304C7DB3" xr6:coauthVersionLast="47" xr6:coauthVersionMax="47" xr10:uidLastSave="{EBB74E5C-3163-41AD-BCE4-E514703FF292}"/>
  <bookViews>
    <workbookView xWindow="-108" yWindow="-108" windowWidth="23256" windowHeight="14016" xr2:uid="{00000000-000D-0000-FFFF-FFFF00000000}"/>
  </bookViews>
  <sheets>
    <sheet name="Cover sheet" sheetId="1" r:id="rId1"/>
    <sheet name="Contents" sheetId="2" r:id="rId2"/>
    <sheet name="Notes" sheetId="3" r:id="rId3"/>
    <sheet name="1" sheetId="4" r:id="rId4"/>
    <sheet name="2" sheetId="5" r:id="rId5"/>
    <sheet name="3" sheetId="6" r:id="rId6"/>
    <sheet name="4" sheetId="7" r:id="rId7"/>
    <sheet name="5" sheetId="8" r:id="rId8"/>
    <sheet name="6" sheetId="9" r:id="rId9"/>
    <sheet name="7" sheetId="10" r:id="rId10"/>
    <sheet name="8" sheetId="11" r:id="rId11"/>
    <sheet name="9" sheetId="12" r:id="rId12"/>
    <sheet name="10" sheetId="13" r:id="rId13"/>
    <sheet name="11" sheetId="14" r:id="rId14"/>
    <sheet name="12a" sheetId="15" r:id="rId15"/>
    <sheet name="12b" sheetId="16" r:id="rId16"/>
    <sheet name="13" sheetId="17" r:id="rId17"/>
    <sheet name="14" sheetId="18"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2" l="1"/>
  <c r="A19" i="2"/>
  <c r="A18" i="2"/>
  <c r="A17" i="2"/>
  <c r="A16" i="2"/>
  <c r="A15" i="2"/>
  <c r="A14" i="2"/>
  <c r="A13" i="2"/>
  <c r="A12" i="2"/>
  <c r="A11" i="2"/>
  <c r="A10" i="2"/>
  <c r="A9" i="2"/>
  <c r="A8" i="2"/>
  <c r="A7" i="2"/>
  <c r="A6" i="2"/>
  <c r="A5" i="2"/>
  <c r="A4" i="2"/>
</calcChain>
</file>

<file path=xl/sharedStrings.xml><?xml version="1.0" encoding="utf-8"?>
<sst xmlns="http://schemas.openxmlformats.org/spreadsheetml/2006/main" count="625" uniqueCount="261">
  <si>
    <t>About us</t>
  </si>
  <si>
    <t>We are the executive office of the UK Statistics Authority, a non-ministerial department which reports directly to Parliament and the UK government’s single largest statistical producer. We compile information about the UK’s society and economy, and provide the evidence-base for policy and decision-making, the allocation of resources, and public accountability.</t>
  </si>
  <si>
    <t>Terms and conditions</t>
  </si>
  <si>
    <t>National Statistics are produced to high professional standards set out in the Code of Practice for Official Statistics. They are produced free from any political interference.</t>
  </si>
  <si>
    <t>The UK Statistics Authority has designated these statistics as National Statistics, in accordance with the Statistics and Registration Service Act 2007 and signifying compliance with the Code of Practice for Official Statistics.</t>
  </si>
  <si>
    <t>Designation can be broadly interpreted to mean that the statistics:</t>
  </si>
  <si>
    <t>• meet identified user needs</t>
  </si>
  <si>
    <t>• are well explained and readily accessible</t>
  </si>
  <si>
    <t>• are produced according to sound methods</t>
  </si>
  <si>
    <t>• are managed impartially and objectively in the public interest</t>
  </si>
  <si>
    <t>Once statistics have been designated as National Statistics it is a statutory requirement that the Code of Practice shall continue to be observed.</t>
  </si>
  <si>
    <t>Analysis</t>
  </si>
  <si>
    <t>To meet user needs, we publish very timely but provisional counts of death registrations in England and Wales in our Deaths registered weekly in England and Wales, provisional dataset. These are presented by sex, age group and regions (within England), as well as for Wales as a whole. To allow time for registration and processing, these figures are published 11 days after the week ends.</t>
  </si>
  <si>
    <t>Because of the coronavirus (COVID-19) pandemic, our regular weekly deaths release now provides a separate breakdown of the numbers of deaths involving COVID-19. That is, where COVID-19 or suspected COVID-19 was mentioned anywhere on the death certificate, including in combination with other health conditions.</t>
  </si>
  <si>
    <t>We will publish extra articles periodically, giving enhanced information such as age-standardised and age-specific mortality rates for recent time periods, and breakdowns of deaths involving COVID-19 by associated pre-existing health conditions.</t>
  </si>
  <si>
    <t>Data for 2022 is included in some tabs to allow for comparison between 2022 and 2023 mortality data. For a full breakdown of the 2022 and other previous years data please see the dataset on the dataset page:</t>
  </si>
  <si>
    <t>Deaths registered weekly in England and Wales 2022, provisional dataset.</t>
  </si>
  <si>
    <t>Things you need to know</t>
  </si>
  <si>
    <t>Weekly death figures provide provisional counts of the number of deaths registered in England and Wales for which data are available, and selection of causes of death as defined in the International Statistical Classification of Diseases and Related Health Problems Tenth Revision (ICD-10).</t>
  </si>
  <si>
    <t>We use the term “due to" a cause of death (e.g COVID-19) when referring only to deaths with that underlying (main) cause of death. We use the term “involving" when referring to all deaths that had the cause mentioned anywhere on the death certificate, whether as an underlying cause or not. For more information on cause of death coding see:</t>
  </si>
  <si>
    <t>User Guide to Mortality Statistics</t>
  </si>
  <si>
    <t>Notes and definitions</t>
  </si>
  <si>
    <t>Deaths occurring in England and Wales are registered on the General Register Office's Registration Online system (RON). Daily extracts of death registration records from RON are processed on our database systems. Provisional data on deaths registered in each week (ending on a Friday) are compiled at the end of the following week. Bank Holidays could affect the number of registrations made within those weeks.</t>
  </si>
  <si>
    <t>For deaths registered from 1 January 2022, cause of death is coded to the ICD-10 classification using MUSE 5.8 software. Deaths registered between 1 January 2020 and 31 December 2021 were coded to the using MUSE 5.5 and previous years were coded to IRIS 4.2.3. For more information see: </t>
  </si>
  <si>
    <t>Cause of death coding in mortality statistics, software changes.</t>
  </si>
  <si>
    <t>Where there are the same values in categories in consecutive weeks, the counts have been checked and are made up of unique death registrations.</t>
  </si>
  <si>
    <t>Figures for the latest week are based on the most up to date boundaries available.</t>
  </si>
  <si>
    <t>The ONS policy on protecting confidentiality in birth and death statistics is available on our website.</t>
  </si>
  <si>
    <t>Further information, enquiries and feedback</t>
  </si>
  <si>
    <t>Special extracts and tabulations of mortality data for England and Wales are available to order for a charge (subject to legal frameworks, disclosure control, resources and the ONS charging policy, where appropriate). Enquiries should be made to: Mortality Analysis Team (health.data@ons.gov.uk) or telephone: +44 (0)1329 444110.</t>
  </si>
  <si>
    <t>User requested data will be published onto our website.</t>
  </si>
  <si>
    <t>Access to microdata and disclosive data, that is, data which have the potential to identify an individual record, requires the approval of the ONS Microdata Release Procedure (MRP) before the data can be provided.</t>
  </si>
  <si>
    <t>We welcome feedback from users, please contact Mortality Analysis Team</t>
  </si>
  <si>
    <t>email: health.data@ons.gov.uk</t>
  </si>
  <si>
    <t>telephone: +44 (0)1329 444110</t>
  </si>
  <si>
    <t>Copyright and reproduction</t>
  </si>
  <si>
    <t>© Crown copyright 2023</t>
  </si>
  <si>
    <t>You may re-use this publication (not including logos) free of charge in any format or medium, under the terms of the Open Government Licence.</t>
  </si>
  <si>
    <t>Users should include a source accreditation to ONS - Source: Office for National Statistics licensed under the Open Government Licence.</t>
  </si>
  <si>
    <t>Visit the Open Government Licence</t>
  </si>
  <si>
    <t>or write to the Information Policy Team, The National Archives, Kew, Richmond, Surrey, TW9 4DU;</t>
  </si>
  <si>
    <t>or email: psi@nationalarchives.gov.uk</t>
  </si>
  <si>
    <t>Where we have identified any third party copyright information you will need to obtain permission from the copyright holders concerned.</t>
  </si>
  <si>
    <t>This publication is also available on our website.</t>
  </si>
  <si>
    <t>Contents</t>
  </si>
  <si>
    <t>This worksheet contains one table.</t>
  </si>
  <si>
    <t>Worksheet name/number</t>
  </si>
  <si>
    <t>Worksheet description</t>
  </si>
  <si>
    <t>Information on the ONS, mortality statistics, and weekly deaths</t>
  </si>
  <si>
    <t>Notes used in this publication</t>
  </si>
  <si>
    <t>Weekly provisional figures on deaths registered in England and Wales, registered 2022 and 2023, with five-year averages</t>
  </si>
  <si>
    <t>Weekly provisional figures on deaths registered in England and Wales by sex and age group, registered 2023</t>
  </si>
  <si>
    <t>Weekly provisional figures on deaths registered in England and Wales for selected causes of death, registered 2023</t>
  </si>
  <si>
    <t>Weekly provisional figures on deaths involving COVID-19 registered in England and Wales by sex and age group, registered 2023</t>
  </si>
  <si>
    <t>Weekly provisional figures on death occurrences involving COVID-19 in England and Wales by sex and age group, registered 2022 and 2023</t>
  </si>
  <si>
    <t>Weekly provisional figures on deaths involving COVID-19 registered in the UK, registered 2023</t>
  </si>
  <si>
    <t>Weekly provisional figures on deaths involving COVID-19 registered in the UK by sex and age group, registered 2023</t>
  </si>
  <si>
    <t>Daily provisional non-cumulative figures on deaths involving COVID-19 registered in the UK and by English region, registered 2022 and 2023</t>
  </si>
  <si>
    <t>Daily provisional non-cumulative figures on death occurrences involving COVID-19 in the UK and by English region, registered 2022 and 2023</t>
  </si>
  <si>
    <t>Weekly provisional figures on excess deaths registered in England and Wales by place of occurrence, registered in 2023</t>
  </si>
  <si>
    <t>Estimated total death occurrences per week in England and Wales based on a statistical model, occurring 2023</t>
  </si>
  <si>
    <t>Weekly provisional figures on deaths registered in England and Wales by region of usual residence, registered 2023</t>
  </si>
  <si>
    <t>Weekly provisional figures on death occurrences involving COVID-19 in England and Wales by region of usual residence, registered 2022 and 2023</t>
  </si>
  <si>
    <t>Weekly provisional figures on deaths registered in England and Wales by place of occurrence, registered between week ending 3 January 2020 and week ending 1 September 2023</t>
  </si>
  <si>
    <t>Weekly provisional figures on deaths involving COVID-19 registered in England and Wales by place of occurrence, registered between week ending 3 January 2020 and week ending 1 September 2023</t>
  </si>
  <si>
    <t>Notes</t>
  </si>
  <si>
    <t>The notes within this table are referred to in other worksheets of this workbook.</t>
  </si>
  <si>
    <t>Links referenced within the note text can be found in the related links column.</t>
  </si>
  <si>
    <t>Note number</t>
  </si>
  <si>
    <t>Note text</t>
  </si>
  <si>
    <t>Related links</t>
  </si>
  <si>
    <t>Data by week for 2022 have been provided for comparison.</t>
  </si>
  <si>
    <t>Figures for England and Wales combined include deaths of non-residents. Figures for England and Wales separately exclude deaths of non-residents.</t>
  </si>
  <si>
    <t>Deaths registered in 2022 will be compared with the 2016, 2017, 2018, 2019 and 2021 five-year average.  Deaths registered in 2023 will be compared with the  2017, 2018, 2019, 2021 and 2022 five-year average. More information can be found in the 'measuring the data' section of the Deaths registered weekly in England and Wales bulletin.</t>
  </si>
  <si>
    <t>Measuring the data.</t>
  </si>
  <si>
    <t>These figures represent death registrations. There can be a delay between the date a death occurred and the date a death was registered. More information can be found in our impact of registration delays release.</t>
  </si>
  <si>
    <t>Impact of registration delays on mortality statistics in England and Wales publication.</t>
  </si>
  <si>
    <t>These figures represent death occurrences. There can be a delay between the date a death occurred and the date a death was registered. More information can be found in our impact of registration delays release.</t>
  </si>
  <si>
    <t>Figures in this table are added for the current week; data for previous weeks are not updated.</t>
  </si>
  <si>
    <t>For breakdowns of deaths registered in 2020, 2021 and 2022 please see Deaths registered weekly in England and Wales, provisional datasets.</t>
  </si>
  <si>
    <t>Deaths registered weekly in England and Wales, provisional.</t>
  </si>
  <si>
    <t>Does not include deaths where age is either missing or not yet fully coded. For this reason counts of 'Persons', 'Males' and 'Females' may not sum to 'Total Deaths, all ages'.</t>
  </si>
  <si>
    <t>Counts of deaths by underlying cause exclude neonatal deaths (aged under 28 days).  More information on cause of death coding for infant deaths is available in the User guide to mortality statistics.</t>
  </si>
  <si>
    <t>Cause of death coding in our User guide to mortality statistics publication.</t>
  </si>
  <si>
    <t>Coding of deaths by cause for the current year is not yet complete.</t>
  </si>
  <si>
    <t>For deaths registered from 1 January 2022, cause of death is coded to the ICD-10 classification using MUSE 5.8 software. Deaths registered between 1 January 2020 and 31 December 2021 were coded to the using MUSE 5.5 and previous years were coded to IRIS 4.2.3. Further information on the software changes are available in Cause of death coding in mortality statistics, software changes publication.</t>
  </si>
  <si>
    <t>Cause of death coding in mortality statistics, software changes publication.</t>
  </si>
  <si>
    <t>Deaths "involving" a cause include all deaths where the cause was mentioned anywhere on the death certificate, as a main cause of death or a contributory cause. Deaths "due to" a cause are a subset of "involving", and only include deaths where the cause was the underlying (main) cause of death.</t>
  </si>
  <si>
    <t>From week ending 26th February 2021 (week 8 2021) new ICD-10 codes for COVID-19 issued by the World Health Organisation (WHO) have been implemented for deaths involving COVID-19. The new codes are U09.9 (Post-COVID condition, where the acute COVID had ended before the condition immediately causing death occurred) and U10.9 (Multisystem inflammatory syndrome associated with COVID-19 (also called Kawasaki-like syndrome), a specific, uncommon effect of COVID-19 in children). These are in addition to the existing codes of U07.1 (COVID-19, virus identified) and U07.2 (COVID-19, virus not identified, i.e. COVID-19 stated to be unconfirmed or suspected).</t>
  </si>
  <si>
    <t>Deaths involving COVID-19 have been included within weekly death registrations and occurrences figures due to the pandemic.</t>
  </si>
  <si>
    <t>ONS deaths by actual date of death - registered by 9 September 2023</t>
  </si>
  <si>
    <t>Figures for 2021, 2022 and 2023 continue to be updated every week as the number of death occurrences will rise as we receive more death registrations.</t>
  </si>
  <si>
    <t>Weekly deaths for Scotland are produced by National Records Scotland (NRS).</t>
  </si>
  <si>
    <t>National Records Scotland (NRS) publication: Deaths involving coronavirus (COVID-19) in Scotland.</t>
  </si>
  <si>
    <t>Weekly deaths for Northern Ireland are produced by Northern Ireland Statistics and Research Agency (NISRA).</t>
  </si>
  <si>
    <t>Northern Ireland Statistics and Research Agency (NISRA) publication: Coronavirus (COVID-19) statistics.</t>
  </si>
  <si>
    <t>England, Wales and Northern Ireland weekly deaths run from Saturday to Friday, Scotland deaths run from Monday to Sunday.</t>
  </si>
  <si>
    <t>Scotland week allocation differs from other countries. For example, week 1 is week ending 8 January 2023. This has been adjusted for the purpose of aggregating the data.</t>
  </si>
  <si>
    <t>UK totals are calculated using the numbers of deaths of usual residents of each of the 4 countries, including any deaths of non-residents that were registered in the UK. Deaths of non-residents are excluded from the separate "England" and "Wales" breakdowns, so the sum of these two countries may differ from the "England and Wales" totals displayed in this dataset. Deaths of non-residents have been included for the specific Scotland and Northern Ireland country breakdowns to ensure consistency with data published by NRS and NISRA.</t>
  </si>
  <si>
    <t>Data for Scotland (and therefore the UK total) are updated every week to ensure consistency with data published by NRS. Data for England, Wales, and Northern Ireland are only added for the current week; previous weeks are not updated.</t>
  </si>
  <si>
    <t>UK data are calculated using England and Wales combined rather than England and Wales country specific data.</t>
  </si>
  <si>
    <t>Deaths at home are those at the usual residence of the deceased (according to the informant)‚ where this is not a communal establishment. Care homes includes homes for the chronic sick; nursing homes; homes for people with mental health problems and non-NHS multi function sites. Hospices include Sue Ryder Homes; Marie Curie Centres; oncology centres; voluntary hospice units; and palliative care centres. Other Communal Establishments include schools for people with learning disabilities; holiday homes and hotels; common lodging houses; aged persons’ accommodation; assessment centres; schools; convents and monasteries; nurses’ homes; university and college halls of residence; young offender institutions; secure training centres; detention centres; prisons and remand homes. Elsewhere includes all places not covered above such as deaths on a motorway; at the beach; climbing a mountain; walking down the street; at the cinema; at a football match; while out shopping; or in someone else's home. This category also includes people who are pronounced dead on arrival at hospital. Hospital includes acute and community hospitals, but does not include psychiatric hospitals.</t>
  </si>
  <si>
    <t>The term care home in this table refers to where a death occurred in a care home, rather than the death of a care home resident.  For more information see Care home resident deaths registered in England and Wales, provisional.</t>
  </si>
  <si>
    <t>Care home resident deaths registered in England and Wales, provisional.</t>
  </si>
  <si>
    <t>These estimates allow for the time taken to register deaths - the statistical model is described in this article.</t>
  </si>
  <si>
    <t>The 95% confidence interval provides a margin of error within which the true number of death occurrences is likely to lie, subject to the assumptions of the model holding true for the given week.</t>
  </si>
  <si>
    <t>Estimates for the latest week are based on an incomplete count of registration and are subject to a wider margin of error. They should therefore be treated with caution.</t>
  </si>
  <si>
    <t>Does not include deaths of those resident outside England and Wales or those records where the place of residence is either missing or not yet fully coded. For this reason counts for "Deaths by Region of usual residence" may not sum to the totals presented in other tables.</t>
  </si>
  <si>
    <t>The back series has been updated to include refreshed data for the previous 26 weeks by combining the current week’s registration data with past registration data to give the best estimates based on 2015-18 patterns of registration delay.</t>
  </si>
  <si>
    <t>The back series is not updated for individual weeks, however, figures for the total deaths Week 1 2020 to the current week are based on the most up-to-date data available and are updated weekly.</t>
  </si>
  <si>
    <t>Deaths from Week 1 2020 to the current week includes; finalised 2020 data, data for 2021 is taken from the Week 52 2021 data extraction, data for 2022 is taken from the Week 52 2022 data extraction and 2023 data is taken from the current week's data extraction.</t>
  </si>
  <si>
    <t>Sheet 1: Weekly provisional figures on deaths registered in England and Wales, registered 2022 and 2023, with five-year averages</t>
  </si>
  <si>
    <t>[note 1][note 2][note 3][note 4][note 6][note 7]</t>
  </si>
  <si>
    <t>This worksheet contains one table</t>
  </si>
  <si>
    <t>Some cells refer to notes which can be found on the notes worksheet.</t>
  </si>
  <si>
    <t>Source: Office for National Statistics</t>
  </si>
  <si>
    <t>Week number</t>
  </si>
  <si>
    <t>Week ended</t>
  </si>
  <si>
    <t>Total deaths England and Wales (2023)</t>
  </si>
  <si>
    <t>Total deaths England and Wales (2022)</t>
  </si>
  <si>
    <t>Five-year average, England and Wales (2017 to 2019 and 2021, 2022)</t>
  </si>
  <si>
    <t>Total deaths England (2023)</t>
  </si>
  <si>
    <t>Total deaths England (2022)</t>
  </si>
  <si>
    <t>Five-year average, England (2017 to 2019 and 2021, 2022)</t>
  </si>
  <si>
    <t>Total deaths Wales (2023)</t>
  </si>
  <si>
    <t>Total deaths Wales (2022)</t>
  </si>
  <si>
    <t>Five-year average, Wales (2017 to 2019 and 2021, 2022)</t>
  </si>
  <si>
    <t>Sheet 2: Weekly provisional figures on deaths registered in England and Wales by sex and age group, registered 2023</t>
  </si>
  <si>
    <t>[note 2][note 4][note 6][note 7][note 8]</t>
  </si>
  <si>
    <t>This worksheet contains three tables presented vertically with one blank row in between each table.</t>
  </si>
  <si>
    <t>Table 2a: Weekly provisional figures on death registrations in England and Wales by age group, people, registered 2023</t>
  </si>
  <si>
    <t>Week ending</t>
  </si>
  <si>
    <t>All ages</t>
  </si>
  <si>
    <t>&lt;1</t>
  </si>
  <si>
    <t>01-04</t>
  </si>
  <si>
    <t>05-09</t>
  </si>
  <si>
    <t>10-14</t>
  </si>
  <si>
    <t>15-19</t>
  </si>
  <si>
    <t>20-24</t>
  </si>
  <si>
    <t>25-29</t>
  </si>
  <si>
    <t>30-34</t>
  </si>
  <si>
    <t>35-39</t>
  </si>
  <si>
    <t>40-44</t>
  </si>
  <si>
    <t>45-49</t>
  </si>
  <si>
    <t>50-54</t>
  </si>
  <si>
    <t>55-59</t>
  </si>
  <si>
    <t>60-64</t>
  </si>
  <si>
    <t>65-69</t>
  </si>
  <si>
    <t>70-74</t>
  </si>
  <si>
    <t>75-79</t>
  </si>
  <si>
    <t>80-84</t>
  </si>
  <si>
    <t>85-89</t>
  </si>
  <si>
    <t>90+</t>
  </si>
  <si>
    <t>Table 2b: Weekly provisional figures on death registrations in England and Wales by age group, males, registered 2023</t>
  </si>
  <si>
    <t>Table 2c: Weekly provisional figures on death registrations in England and Wales by age group, females, registered 2023</t>
  </si>
  <si>
    <t>Sheet 3: Weekly provisional figures on deaths registered in England and Wales for selected causes of death, registered 2023</t>
  </si>
  <si>
    <t>[note 2][note 4][note 6][note 7][note 9][note 10][note 11][note 12][note 13][note 14]</t>
  </si>
  <si>
    <t>Deaths involving diseases of the respiratory system (J00 to J99)</t>
  </si>
  <si>
    <t>Deaths due to diseases of the respiratory system (J00 to J99)</t>
  </si>
  <si>
    <t>Deaths involving influenza or pneumonia (J09 to J18)</t>
  </si>
  <si>
    <t>Deaths due to influenza or pneumonia (J09 to J18)</t>
  </si>
  <si>
    <t>Deaths involving COVID-19 (U07.1, U07.2, U09.9, U10.9)</t>
  </si>
  <si>
    <t>Deaths due to COVID-19 (U07.1, U07.2, U10.9)</t>
  </si>
  <si>
    <t>Sheet 4: Weekly provisional figures on deaths involving COVID-19 registered in England and Wales by sex and age group, registered 2023</t>
  </si>
  <si>
    <t>[note 2][note 4][note 6][note 7][note 8][note 9][note 10][note 11][note 12][note 13][note 14]</t>
  </si>
  <si>
    <t>Table 4a: Weekly provisional figures on death registrations involving COVID-19 in England and Wales by age group, people, registered 2023</t>
  </si>
  <si>
    <t>Table 4b: Weekly provisional figures on death registrations involving COVID-19 in England and Wales by age group, males, registered 2023</t>
  </si>
  <si>
    <t>Table 4c: Weekly provisional figures on death registrations involving COVID-19 in England and Wales by age group, females, registered 2023</t>
  </si>
  <si>
    <t>Sheet 5: Weekly provisional figures on death occurrences involving COVID-19 in England and Wales by sex and age group, registered 2022 and 2023</t>
  </si>
  <si>
    <t>[note 2][note 5][note 8][note 9][note 10][note 11][note 12][note 13][note 14][note 15][note 16]</t>
  </si>
  <si>
    <t>Table 5a: Weekly provisional figures on death occurrences involving COVID-19 in England and Wales by age group, people, registered 2022 and 2023</t>
  </si>
  <si>
    <t>Table 5b: Weekly provisional figures on death occurrences involving COVID-19 in England and Wales by age group, males, registered 2022 and 2023</t>
  </si>
  <si>
    <t>Table 5c: Weekly provisional figures on death occurrences involving COVID-19 in England and Wales by age group, females, registered 2022 and 2023</t>
  </si>
  <si>
    <t>Sheet 6: Weekly provisional figures on death registrations involving COVID-19 in the UK, registered 2023</t>
  </si>
  <si>
    <t>[note 4][note 7][note 9][note 10][note 11][note 12][note 13][note 14][note 17][note 18][note 19][note 20][note 21][note 22][note 23]</t>
  </si>
  <si>
    <t>Total deaths</t>
  </si>
  <si>
    <t>England and Wales</t>
  </si>
  <si>
    <t>England</t>
  </si>
  <si>
    <t>Wales</t>
  </si>
  <si>
    <t>Scotland</t>
  </si>
  <si>
    <t>Northern Ireland</t>
  </si>
  <si>
    <t>Sheet 7: Weekly provisional figures on death registrations involving COVID-19 in the UK by sex and age group, registered 2023</t>
  </si>
  <si>
    <t>[note 4][note 7][note 8][note 9][note 10][note 11][note 12][note 13][note 14][note 17][note 18][note 19][note 20][note 21][note 22][note 23]</t>
  </si>
  <si>
    <t>Table 7a: Weekly provisional figures on death registrations involving COVID-19 in the UK by age group, people, registered 2023</t>
  </si>
  <si>
    <t>01-14</t>
  </si>
  <si>
    <t>15-44</t>
  </si>
  <si>
    <t>45-64</t>
  </si>
  <si>
    <t>65-74</t>
  </si>
  <si>
    <t>75-84</t>
  </si>
  <si>
    <t>85+</t>
  </si>
  <si>
    <t>Table 7b: Weekly provisional figures on death registrations involving COVID-19 in the UK by age group, males, registered 2023</t>
  </si>
  <si>
    <t>Table 7c: Weekly provisional figures on death registrations involving COVID-19 in the UK by age group, females, registered 2023</t>
  </si>
  <si>
    <t>Sheet 8: Daily provisional non-cumulative figures on death registrations involving COVID-19 in the UK and by English region, registered 2022 and 2023</t>
  </si>
  <si>
    <t>[note 4][note 9][note 10][note 11][note 12][note 13][note 14][note 17][note 18][note 21][note 23][note 29]</t>
  </si>
  <si>
    <t>Date</t>
  </si>
  <si>
    <t>UK</t>
  </si>
  <si>
    <t>North East</t>
  </si>
  <si>
    <t>North West</t>
  </si>
  <si>
    <t>Yorkshire and The Humber</t>
  </si>
  <si>
    <t>East Midlands</t>
  </si>
  <si>
    <t>West Midlands</t>
  </si>
  <si>
    <t>East of England</t>
  </si>
  <si>
    <t>London</t>
  </si>
  <si>
    <t>South East</t>
  </si>
  <si>
    <t>South West</t>
  </si>
  <si>
    <t>Sheet 9: Daily provisional non-cumulative figures on death occurrences involving COVID-19 in the UK and by English region, occurring 2022 and 2023</t>
  </si>
  <si>
    <t>[note 5][note 9][note 10][note 11][note 12][note 13][note 14][note 15][note 16][note 17][note 18][note 21][note 23][note 29]</t>
  </si>
  <si>
    <t>Sheet 10: Weekly provisional figures on excess death registrations in England and Wales by place of occurrence, registered between week ending 6 January 2023 and 1 September 2023</t>
  </si>
  <si>
    <t>[note 2][note 3][note 4][note 6][note 7][note 9][note 10][note 11][note 12][note 13][note 14][note 24][note 25]</t>
  </si>
  <si>
    <t>Some cells in this table have been intentially left empty where data for those weeks are not yet available.</t>
  </si>
  <si>
    <t>Home All deaths</t>
  </si>
  <si>
    <t>Home COVID-19 deaths</t>
  </si>
  <si>
    <t>Home Five-year average</t>
  </si>
  <si>
    <t>Home Excess deaths</t>
  </si>
  <si>
    <t>Hospital All deaths</t>
  </si>
  <si>
    <t>Hospital COVID-19 deaths</t>
  </si>
  <si>
    <t>Hospital Five-year average</t>
  </si>
  <si>
    <t>Hospital Excess deaths</t>
  </si>
  <si>
    <t>Care home All deaths</t>
  </si>
  <si>
    <t>Care home COVID-19 deaths</t>
  </si>
  <si>
    <t>Care home Five-year average</t>
  </si>
  <si>
    <t>Care home Excess deaths</t>
  </si>
  <si>
    <t>Other All deaths</t>
  </si>
  <si>
    <t>Other COVID-19 deaths</t>
  </si>
  <si>
    <t>Other Five-year average</t>
  </si>
  <si>
    <t>Other Excess deaths</t>
  </si>
  <si>
    <t>Sheet 11: Experimental estimated total death occurrences per week in England and Wales based on a statistical model, occurring 2023</t>
  </si>
  <si>
    <t>Some shorthand is used in this table, [z] = not yet available due to the provisional nature of the 2022 data, some cells are left blank in this table.</t>
  </si>
  <si>
    <t>Estimated total death occurrences</t>
  </si>
  <si>
    <t>Upper 95% confidence interval</t>
  </si>
  <si>
    <t>Lower 95% confidence interval</t>
  </si>
  <si>
    <t>Five-year average occurrences</t>
  </si>
  <si>
    <t>Death occurrences in 2021</t>
  </si>
  <si>
    <t>Death occurrences in 2022</t>
  </si>
  <si>
    <t>Sheet 12a: Weekly provisional figures on death registrations for all causes and involving COVID-19 in England and Wales by region of usual residence, registered 2023</t>
  </si>
  <si>
    <t>[note 2][note 4][note 6][note 7][note 9][note 10][note 11][note 12][note 13][note 14][note 29]</t>
  </si>
  <si>
    <t>This worksheet contains two tables presented vertically with one blank row in between each table.</t>
  </si>
  <si>
    <t>Table 12a1: Weekly provisional figures on death registrations for all causes in England and Wales by region of usual residence, registered 2023</t>
  </si>
  <si>
    <t>Table 12a2: Weekly provisional figures on death registrations involving COVID-19 in England and Wales by region of usual residence, registered 2023</t>
  </si>
  <si>
    <t>Sheet 12b: Weekly provisional figures on death occurrences involving COVID-19 in England and Wales by region of usual residence, registered 2022 and 2023</t>
  </si>
  <si>
    <t>[note 2][note 5][note 7][note 9][note 10][note 11][note 12][note 13][note 14][note 15][note 16][note 29]</t>
  </si>
  <si>
    <t>Sheet 13: Weekly provisional figures on death registrations in England and Wales by place of occurrence,  registered between week ending 3 January 2020 and week ending 1 September 2023, including weekly breakdown for 2023</t>
  </si>
  <si>
    <t>[note 2][note 4][note 7][note 24][note 25][note 20][note 31]</t>
  </si>
  <si>
    <t>Table 13a: Weekly provisional figures on death registrations in England and Wales by place of occurrence, registered in week one 2020 to the current week</t>
  </si>
  <si>
    <t>Home</t>
  </si>
  <si>
    <t>Hospital</t>
  </si>
  <si>
    <t>Hospice</t>
  </si>
  <si>
    <t>Care home</t>
  </si>
  <si>
    <t>Other communal establishment</t>
  </si>
  <si>
    <t>Elsewhere</t>
  </si>
  <si>
    <t>Week 1 2020 to Current Week</t>
  </si>
  <si>
    <t>Table 13b: Weekly provisional figures on death registrations in England by place of occurrence, registered in week one 2020 to the current week</t>
  </si>
  <si>
    <t>Table 13c: Weekly provisional figures on death registrations in Wales by place of occurrence, registered in week one 2020 to the current week</t>
  </si>
  <si>
    <t>Sheet 14: Weekly provisional figures on death registrations involving COVID-19 in England and Wales by place of occurrence, registered between week ending 3 January 2020 and week ending 1 September 2023, including weekly breakdown for 2023</t>
  </si>
  <si>
    <t>[note 2][note 4][note 7][note 9][note 10][note 11][note 12][note 13][note 14][note 24][note 25][note 31][note 32]</t>
  </si>
  <si>
    <t>Table 14a: Weekly provisional figures on death registrations involving COVID-19 in England and Wales by place of occurrence, registered 2023</t>
  </si>
  <si>
    <t>Table 14b: Weekly provisional figures on death registrations involving COVID-19 in England by place of occurrence, registered 2023</t>
  </si>
  <si>
    <t>Table 14c: Weekly provisional figures on death registrations involving COVID-19 in Wales by place of occurrence, registered 2023</t>
  </si>
  <si>
    <t>The five year average death occurences on sheet 11 uses death occurences in the years 2015 to 2019</t>
  </si>
  <si>
    <t>[note 1][note 5][note 26][note 27][note 28][note 30][note 33]</t>
  </si>
  <si>
    <t xml:space="preserve">Deaths registered weekly in England and Wales, provisional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</si>
</sst>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 yyyy"/>
  </numFmts>
  <fonts count="5" x14ac:knownFonts="1">
    <font>
      <sz val="12"/>
      <color rgb="FF000000"/>
      <name val="Arial"/>
    </font>
    <font>
      <b/>
      <sz val="14"/>
      <color rgb="FF000000"/>
      <name val="Arial"/>
      <family val="2"/>
    </font>
    <font>
      <b/>
      <sz val="12"/>
      <color rgb="FF000000"/>
      <name val="Arial"/>
      <family val="2"/>
    </font>
    <font>
      <u/>
      <sz val="12"/>
      <color theme="10"/>
      <name val="Arial"/>
      <family val="2"/>
    </font>
    <font>
      <sz val="12"/>
      <color rgb="FF000000"/>
      <name val="Arial"/>
      <family val="2"/>
    </font>
  </fonts>
  <fills count="2">
    <fill>
      <patternFill patternType="none"/>
    </fill>
    <fill>
      <patternFill patternType="gray125"/>
    </fill>
  </fills>
  <borders count="5">
    <border>
      <left/>
      <right/>
      <top/>
      <bottom/>
      <diagonal/>
    </border>
    <border>
      <left/>
      <right style="thin">
        <color rgb="FF000000"/>
      </right>
      <top style="thin">
        <color rgb="FF000000"/>
      </top>
      <bottom/>
      <diagonal/>
    </border>
    <border>
      <left/>
      <right style="thin">
        <color rgb="FF000000"/>
      </right>
      <top/>
      <bottom/>
      <diagonal/>
    </border>
    <border>
      <left/>
      <right/>
      <top style="thin">
        <color rgb="FF000000"/>
      </top>
      <bottom/>
      <diagonal/>
    </border>
    <border>
      <left/>
      <right style="thin">
        <color indexed="64"/>
      </right>
      <top/>
      <bottom/>
      <diagonal/>
    </border>
  </borders>
  <cellStyleXfs count="2">
    <xf numFmtId="0" fontId="0" fillId="0" borderId="0"/>
    <xf numFmtId="0" fontId="4" fillId="0" borderId="0"/>
  </cellStyleXfs>
  <cellXfs count="40">
    <xf numFmtId="0" fontId="0" fillId="0" borderId="0" xfId="0"/>
    <xf numFmtId="0" fontId="1" fillId="0" borderId="0" xfId="0" applyFont="1" applyAlignment="1">
      <alignment horizontal="left"/>
    </xf>
    <xf numFmtId="0" fontId="0" fillId="0" borderId="0" xfId="0" applyAlignment="1">
      <alignment horizontal="left" vertical="top" wrapText="1"/>
    </xf>
    <xf numFmtId="0" fontId="2" fillId="0" borderId="0" xfId="0" applyFont="1" applyAlignment="1">
      <alignment horizontal="left"/>
    </xf>
    <xf numFmtId="0" fontId="3" fillId="0" borderId="0" xfId="0" applyFont="1" applyAlignment="1">
      <alignment horizontal="left" vertical="top" wrapText="1"/>
    </xf>
    <xf numFmtId="0" fontId="3" fillId="0" borderId="1" xfId="0" applyFont="1" applyBorder="1" applyAlignment="1">
      <alignment horizontal="center" vertical="top" wrapText="1"/>
    </xf>
    <xf numFmtId="0" fontId="0" fillId="0" borderId="1" xfId="0" applyBorder="1" applyAlignment="1">
      <alignment horizontal="left" vertical="top" wrapText="1"/>
    </xf>
    <xf numFmtId="0" fontId="3" fillId="0" borderId="2" xfId="0" applyFont="1" applyBorder="1" applyAlignment="1">
      <alignment horizontal="center" vertical="top" wrapText="1"/>
    </xf>
    <xf numFmtId="0" fontId="0" fillId="0" borderId="2" xfId="0" applyBorder="1" applyAlignment="1">
      <alignment horizontal="left" vertical="top" wrapText="1"/>
    </xf>
    <xf numFmtId="0" fontId="0" fillId="0" borderId="0" xfId="0" applyAlignment="1">
      <alignment horizontal="left"/>
    </xf>
    <xf numFmtId="0" fontId="0" fillId="0" borderId="3" xfId="0" applyBorder="1" applyAlignment="1">
      <alignment wrapText="1"/>
    </xf>
    <xf numFmtId="0" fontId="2" fillId="0" borderId="1" xfId="0" applyFont="1" applyBorder="1" applyAlignment="1">
      <alignment horizontal="left" vertical="top" wrapText="1"/>
    </xf>
    <xf numFmtId="0" fontId="2" fillId="0" borderId="3" xfId="0" applyFont="1" applyBorder="1" applyAlignment="1">
      <alignment horizontal="left" vertical="top" wrapText="1"/>
    </xf>
    <xf numFmtId="0" fontId="0" fillId="0" borderId="3" xfId="0" applyBorder="1" applyAlignment="1">
      <alignment horizontal="left" vertical="top" wrapText="1"/>
    </xf>
    <xf numFmtId="0" fontId="2" fillId="0" borderId="1" xfId="0" applyFont="1" applyBorder="1" applyAlignment="1">
      <alignment horizontal="center" vertical="top" wrapText="1"/>
    </xf>
    <xf numFmtId="0" fontId="0" fillId="0" borderId="1" xfId="0" applyBorder="1" applyAlignment="1">
      <alignment horizontal="center" vertical="top" wrapText="1"/>
    </xf>
    <xf numFmtId="0" fontId="0" fillId="0" borderId="2" xfId="0" applyBorder="1" applyAlignment="1">
      <alignment horizontal="center" vertical="top" wrapText="1"/>
    </xf>
    <xf numFmtId="0" fontId="3" fillId="0" borderId="2" xfId="0" applyFont="1" applyBorder="1" applyAlignment="1">
      <alignment horizontal="left" vertical="top" wrapText="1"/>
    </xf>
    <xf numFmtId="164" fontId="0" fillId="0" borderId="3" xfId="0" applyNumberFormat="1" applyBorder="1" applyAlignment="1">
      <alignment horizontal="left" wrapText="1"/>
    </xf>
    <xf numFmtId="0" fontId="0" fillId="0" borderId="3" xfId="0" applyBorder="1" applyAlignment="1">
      <alignment horizontal="left" wrapText="1"/>
    </xf>
    <xf numFmtId="0" fontId="0" fillId="0" borderId="0" xfId="0" applyAlignment="1">
      <alignment horizontal="left" wrapText="1"/>
    </xf>
    <xf numFmtId="0" fontId="2" fillId="0" borderId="3" xfId="0" applyFont="1" applyBorder="1" applyAlignment="1">
      <alignment horizontal="right" vertical="top" wrapText="1"/>
    </xf>
    <xf numFmtId="3" fontId="0" fillId="0" borderId="3" xfId="0" applyNumberFormat="1" applyBorder="1" applyAlignment="1">
      <alignment horizontal="right" wrapText="1"/>
    </xf>
    <xf numFmtId="3" fontId="0" fillId="0" borderId="0" xfId="0" applyNumberFormat="1" applyAlignment="1">
      <alignment horizontal="right"/>
    </xf>
    <xf numFmtId="0" fontId="2" fillId="0" borderId="1" xfId="0" applyFont="1" applyBorder="1" applyAlignment="1">
      <alignment horizontal="right" vertical="top" wrapText="1"/>
    </xf>
    <xf numFmtId="164" fontId="0" fillId="0" borderId="1" xfId="0" applyNumberFormat="1" applyBorder="1" applyAlignment="1">
      <alignment horizontal="left" wrapText="1"/>
    </xf>
    <xf numFmtId="3" fontId="0" fillId="0" borderId="1" xfId="0" applyNumberFormat="1" applyBorder="1" applyAlignment="1">
      <alignment horizontal="right" wrapText="1"/>
    </xf>
    <xf numFmtId="164" fontId="0" fillId="0" borderId="2" xfId="0" applyNumberFormat="1" applyBorder="1" applyAlignment="1">
      <alignment horizontal="left" wrapText="1"/>
    </xf>
    <xf numFmtId="3" fontId="0" fillId="0" borderId="2" xfId="0" applyNumberFormat="1" applyBorder="1" applyAlignment="1">
      <alignment horizontal="right"/>
    </xf>
    <xf numFmtId="164" fontId="2" fillId="0" borderId="1" xfId="0" applyNumberFormat="1" applyFont="1" applyBorder="1" applyAlignment="1">
      <alignment horizontal="left" vertical="top" wrapText="1"/>
    </xf>
    <xf numFmtId="0" fontId="2" fillId="0" borderId="3" xfId="0" applyFont="1" applyBorder="1" applyAlignment="1">
      <alignment horizontal="left" wrapText="1"/>
    </xf>
    <xf numFmtId="0" fontId="0" fillId="0" borderId="1" xfId="0" applyBorder="1" applyAlignment="1">
      <alignment horizontal="left" wrapText="1"/>
    </xf>
    <xf numFmtId="0" fontId="0" fillId="0" borderId="2" xfId="0" applyBorder="1" applyAlignment="1">
      <alignment horizontal="left" wrapText="1"/>
    </xf>
    <xf numFmtId="3" fontId="0" fillId="0" borderId="0" xfId="0" applyNumberFormat="1" applyAlignment="1">
      <alignment horizontal="left"/>
    </xf>
    <xf numFmtId="3" fontId="0" fillId="0" borderId="3" xfId="0" applyNumberFormat="1" applyBorder="1" applyAlignment="1">
      <alignment horizontal="left" wrapText="1"/>
    </xf>
    <xf numFmtId="3" fontId="2" fillId="0" borderId="3" xfId="0" applyNumberFormat="1" applyFont="1" applyBorder="1" applyAlignment="1">
      <alignment horizontal="right" vertical="top" wrapText="1"/>
    </xf>
    <xf numFmtId="3" fontId="2" fillId="0" borderId="1" xfId="0" applyNumberFormat="1" applyFont="1" applyBorder="1" applyAlignment="1">
      <alignment horizontal="right" vertical="top" wrapText="1"/>
    </xf>
    <xf numFmtId="0" fontId="4" fillId="0" borderId="4" xfId="1" applyFont="1" applyBorder="1" applyAlignment="1">
      <alignment horizontal="center" vertical="top" wrapText="1"/>
    </xf>
    <xf numFmtId="0" fontId="4" fillId="0" borderId="0" xfId="1" applyFont="1" applyBorder="1" applyAlignment="1">
      <alignment horizontal="left" vertical="top" wrapText="1"/>
    </xf>
    <xf numFmtId="0" fontId="4" fillId="0" borderId="4" xfId="1" applyBorder="1" applyAlignment="1">
      <alignment horizontal="left" vertical="top" wrapText="1"/>
    </xf>
  </cellXfs>
  <cellStyles count="2">
    <cellStyle name="Normal" xfId="0" builtinId="0"/>
    <cellStyle name="Normal 2" xfId="1" xr:uid="{44AE4C37-5DEF-4422-A1E1-038391C03B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ontents" displayName="contents" ref="A3:B20" totalsRowShown="0">
  <tableColumns count="2">
    <tableColumn id="1" xr3:uid="{00000000-0010-0000-0000-000001000000}" name="Worksheet name/number"/>
    <tableColumn id="2" xr3:uid="{00000000-0010-0000-0000-000002000000}" name="Worksheet description"/>
  </tableColumns>
  <tableStyleInfo name="non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notes" displayName="notes" ref="A5:C38" totalsRowShown="0">
  <tableColumns count="3">
    <tableColumn id="1" xr3:uid="{00000000-0010-0000-0100-000001000000}" name="Note number"/>
    <tableColumn id="2" xr3:uid="{00000000-0010-0000-0100-000002000000}" name="Note text"/>
    <tableColumn id="3" xr3:uid="{00000000-0010-0000-0100-000003000000}" name="Related links"/>
  </tableColumns>
  <tableStyleInfo name="non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_1" displayName="table_1" ref="A6:K41" totalsRowShown="0">
  <tableColumns count="11">
    <tableColumn id="1" xr3:uid="{00000000-0010-0000-0200-000001000000}" name="Week number"/>
    <tableColumn id="2" xr3:uid="{00000000-0010-0000-0200-000002000000}" name="Week ended"/>
    <tableColumn id="3" xr3:uid="{00000000-0010-0000-0200-000003000000}" name="Total deaths England and Wales (2023)"/>
    <tableColumn id="4" xr3:uid="{00000000-0010-0000-0200-000004000000}" name="Total deaths England and Wales (2022)"/>
    <tableColumn id="5" xr3:uid="{00000000-0010-0000-0200-000005000000}" name="Five-year average, England and Wales (2017 to 2019 and 2021, 2022)"/>
    <tableColumn id="6" xr3:uid="{00000000-0010-0000-0200-000006000000}" name="Total deaths England (2023)"/>
    <tableColumn id="7" xr3:uid="{00000000-0010-0000-0200-000007000000}" name="Total deaths England (2022)"/>
    <tableColumn id="8" xr3:uid="{00000000-0010-0000-0200-000008000000}" name="Five-year average, England (2017 to 2019 and 2021, 2022)"/>
    <tableColumn id="9" xr3:uid="{00000000-0010-0000-0200-000009000000}" name="Total deaths Wales (2023)"/>
    <tableColumn id="10" xr3:uid="{00000000-0010-0000-0200-00000A000000}" name="Total deaths Wales (2022)"/>
    <tableColumn id="11" xr3:uid="{00000000-0010-0000-0200-00000B000000}" name="Five-year average, Wales (2017 to 2019 and 2021, 2022)"/>
  </tableColumns>
  <tableStyleInfo name="non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_2a" displayName="table_2a" ref="A7:W42" totalsRowShown="0">
  <tableColumns count="23">
    <tableColumn id="1" xr3:uid="{00000000-0010-0000-0300-000001000000}" name="Week number"/>
    <tableColumn id="2" xr3:uid="{00000000-0010-0000-0300-000002000000}" name="Week ending"/>
    <tableColumn id="3" xr3:uid="{00000000-0010-0000-0300-000003000000}" name="All ages"/>
    <tableColumn id="4" xr3:uid="{00000000-0010-0000-0300-000004000000}" name="&lt;1"/>
    <tableColumn id="5" xr3:uid="{00000000-0010-0000-0300-000005000000}" name="01-04"/>
    <tableColumn id="6" xr3:uid="{00000000-0010-0000-0300-000006000000}" name="05-09"/>
    <tableColumn id="7" xr3:uid="{00000000-0010-0000-0300-000007000000}" name="10-14"/>
    <tableColumn id="8" xr3:uid="{00000000-0010-0000-0300-000008000000}" name="15-19"/>
    <tableColumn id="9" xr3:uid="{00000000-0010-0000-0300-000009000000}" name="20-24"/>
    <tableColumn id="10" xr3:uid="{00000000-0010-0000-0300-00000A000000}" name="25-29"/>
    <tableColumn id="11" xr3:uid="{00000000-0010-0000-0300-00000B000000}" name="30-34"/>
    <tableColumn id="12" xr3:uid="{00000000-0010-0000-0300-00000C000000}" name="35-39"/>
    <tableColumn id="13" xr3:uid="{00000000-0010-0000-0300-00000D000000}" name="40-44"/>
    <tableColumn id="14" xr3:uid="{00000000-0010-0000-0300-00000E000000}" name="45-49"/>
    <tableColumn id="15" xr3:uid="{00000000-0010-0000-0300-00000F000000}" name="50-54"/>
    <tableColumn id="16" xr3:uid="{00000000-0010-0000-0300-000010000000}" name="55-59"/>
    <tableColumn id="17" xr3:uid="{00000000-0010-0000-0300-000011000000}" name="60-64"/>
    <tableColumn id="18" xr3:uid="{00000000-0010-0000-0300-000012000000}" name="65-69"/>
    <tableColumn id="19" xr3:uid="{00000000-0010-0000-0300-000013000000}" name="70-74"/>
    <tableColumn id="20" xr3:uid="{00000000-0010-0000-0300-000014000000}" name="75-79"/>
    <tableColumn id="21" xr3:uid="{00000000-0010-0000-0300-000015000000}" name="80-84"/>
    <tableColumn id="22" xr3:uid="{00000000-0010-0000-0300-000016000000}" name="85-89"/>
    <tableColumn id="23" xr3:uid="{00000000-0010-0000-0300-000017000000}" name="90+"/>
  </tableColumns>
  <tableStyleInfo name="non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_2b" displayName="table_2b" ref="A45:W80" totalsRowShown="0">
  <tableColumns count="23">
    <tableColumn id="1" xr3:uid="{00000000-0010-0000-0400-000001000000}" name="Week number"/>
    <tableColumn id="2" xr3:uid="{00000000-0010-0000-0400-000002000000}" name="Week ending"/>
    <tableColumn id="3" xr3:uid="{00000000-0010-0000-0400-000003000000}" name="All ages"/>
    <tableColumn id="4" xr3:uid="{00000000-0010-0000-0400-000004000000}" name="&lt;1"/>
    <tableColumn id="5" xr3:uid="{00000000-0010-0000-0400-000005000000}" name="01-04"/>
    <tableColumn id="6" xr3:uid="{00000000-0010-0000-0400-000006000000}" name="05-09"/>
    <tableColumn id="7" xr3:uid="{00000000-0010-0000-0400-000007000000}" name="10-14"/>
    <tableColumn id="8" xr3:uid="{00000000-0010-0000-0400-000008000000}" name="15-19"/>
    <tableColumn id="9" xr3:uid="{00000000-0010-0000-0400-000009000000}" name="20-24"/>
    <tableColumn id="10" xr3:uid="{00000000-0010-0000-0400-00000A000000}" name="25-29"/>
    <tableColumn id="11" xr3:uid="{00000000-0010-0000-0400-00000B000000}" name="30-34"/>
    <tableColumn id="12" xr3:uid="{00000000-0010-0000-0400-00000C000000}" name="35-39"/>
    <tableColumn id="13" xr3:uid="{00000000-0010-0000-0400-00000D000000}" name="40-44"/>
    <tableColumn id="14" xr3:uid="{00000000-0010-0000-0400-00000E000000}" name="45-49"/>
    <tableColumn id="15" xr3:uid="{00000000-0010-0000-0400-00000F000000}" name="50-54"/>
    <tableColumn id="16" xr3:uid="{00000000-0010-0000-0400-000010000000}" name="55-59"/>
    <tableColumn id="17" xr3:uid="{00000000-0010-0000-0400-000011000000}" name="60-64"/>
    <tableColumn id="18" xr3:uid="{00000000-0010-0000-0400-000012000000}" name="65-69"/>
    <tableColumn id="19" xr3:uid="{00000000-0010-0000-0400-000013000000}" name="70-74"/>
    <tableColumn id="20" xr3:uid="{00000000-0010-0000-0400-000014000000}" name="75-79"/>
    <tableColumn id="21" xr3:uid="{00000000-0010-0000-0400-000015000000}" name="80-84"/>
    <tableColumn id="22" xr3:uid="{00000000-0010-0000-0400-000016000000}" name="85-89"/>
    <tableColumn id="23" xr3:uid="{00000000-0010-0000-0400-000017000000}" name="90+"/>
  </tableColumns>
  <tableStyleInfo name="non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_2c" displayName="table_2c" ref="A83:W118" totalsRowShown="0">
  <tableColumns count="23">
    <tableColumn id="1" xr3:uid="{00000000-0010-0000-0500-000001000000}" name="Week number"/>
    <tableColumn id="2" xr3:uid="{00000000-0010-0000-0500-000002000000}" name="Week ending"/>
    <tableColumn id="3" xr3:uid="{00000000-0010-0000-0500-000003000000}" name="All ages"/>
    <tableColumn id="4" xr3:uid="{00000000-0010-0000-0500-000004000000}" name="&lt;1"/>
    <tableColumn id="5" xr3:uid="{00000000-0010-0000-0500-000005000000}" name="01-04"/>
    <tableColumn id="6" xr3:uid="{00000000-0010-0000-0500-000006000000}" name="05-09"/>
    <tableColumn id="7" xr3:uid="{00000000-0010-0000-0500-000007000000}" name="10-14"/>
    <tableColumn id="8" xr3:uid="{00000000-0010-0000-0500-000008000000}" name="15-19"/>
    <tableColumn id="9" xr3:uid="{00000000-0010-0000-0500-000009000000}" name="20-24"/>
    <tableColumn id="10" xr3:uid="{00000000-0010-0000-0500-00000A000000}" name="25-29"/>
    <tableColumn id="11" xr3:uid="{00000000-0010-0000-0500-00000B000000}" name="30-34"/>
    <tableColumn id="12" xr3:uid="{00000000-0010-0000-0500-00000C000000}" name="35-39"/>
    <tableColumn id="13" xr3:uid="{00000000-0010-0000-0500-00000D000000}" name="40-44"/>
    <tableColumn id="14" xr3:uid="{00000000-0010-0000-0500-00000E000000}" name="45-49"/>
    <tableColumn id="15" xr3:uid="{00000000-0010-0000-0500-00000F000000}" name="50-54"/>
    <tableColumn id="16" xr3:uid="{00000000-0010-0000-0500-000010000000}" name="55-59"/>
    <tableColumn id="17" xr3:uid="{00000000-0010-0000-0500-000011000000}" name="60-64"/>
    <tableColumn id="18" xr3:uid="{00000000-0010-0000-0500-000012000000}" name="65-69"/>
    <tableColumn id="19" xr3:uid="{00000000-0010-0000-0500-000013000000}" name="70-74"/>
    <tableColumn id="20" xr3:uid="{00000000-0010-0000-0500-000014000000}" name="75-79"/>
    <tableColumn id="21" xr3:uid="{00000000-0010-0000-0500-000015000000}" name="80-84"/>
    <tableColumn id="22" xr3:uid="{00000000-0010-0000-0500-000016000000}" name="85-89"/>
    <tableColumn id="23" xr3:uid="{00000000-0010-0000-0500-000017000000}" name="90+"/>
  </tableColumns>
  <tableStyleInfo name="non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_3" displayName="table_3" ref="A6:H41" totalsRowShown="0">
  <tableColumns count="8">
    <tableColumn id="1" xr3:uid="{00000000-0010-0000-0600-000001000000}" name="Week number"/>
    <tableColumn id="2" xr3:uid="{00000000-0010-0000-0600-000002000000}" name="Week ending"/>
    <tableColumn id="3" xr3:uid="{00000000-0010-0000-0600-000003000000}" name="Deaths involving diseases of the respiratory system (J00 to J99)"/>
    <tableColumn id="4" xr3:uid="{00000000-0010-0000-0600-000004000000}" name="Deaths due to diseases of the respiratory system (J00 to J99)"/>
    <tableColumn id="5" xr3:uid="{00000000-0010-0000-0600-000005000000}" name="Deaths involving influenza or pneumonia (J09 to J18)"/>
    <tableColumn id="6" xr3:uid="{00000000-0010-0000-0600-000006000000}" name="Deaths due to influenza or pneumonia (J09 to J18)"/>
    <tableColumn id="7" xr3:uid="{00000000-0010-0000-0600-000007000000}" name="Deaths involving COVID-19 (U07.1, U07.2, U09.9, U10.9)"/>
    <tableColumn id="8" xr3:uid="{00000000-0010-0000-0600-000008000000}" name="Deaths due to COVID-19 (U07.1, U07.2, U10.9)"/>
  </tableColumns>
  <tableStyleInfo name="non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_4a" displayName="table_4a" ref="A7:W42" totalsRowShown="0">
  <tableColumns count="23">
    <tableColumn id="1" xr3:uid="{00000000-0010-0000-0700-000001000000}" name="Week number"/>
    <tableColumn id="2" xr3:uid="{00000000-0010-0000-0700-000002000000}" name="Week ending"/>
    <tableColumn id="3" xr3:uid="{00000000-0010-0000-0700-000003000000}" name="All ages"/>
    <tableColumn id="4" xr3:uid="{00000000-0010-0000-0700-000004000000}" name="&lt;1"/>
    <tableColumn id="5" xr3:uid="{00000000-0010-0000-0700-000005000000}" name="01-04"/>
    <tableColumn id="6" xr3:uid="{00000000-0010-0000-0700-000006000000}" name="05-09"/>
    <tableColumn id="7" xr3:uid="{00000000-0010-0000-0700-000007000000}" name="10-14"/>
    <tableColumn id="8" xr3:uid="{00000000-0010-0000-0700-000008000000}" name="15-19"/>
    <tableColumn id="9" xr3:uid="{00000000-0010-0000-0700-000009000000}" name="20-24"/>
    <tableColumn id="10" xr3:uid="{00000000-0010-0000-0700-00000A000000}" name="25-29"/>
    <tableColumn id="11" xr3:uid="{00000000-0010-0000-0700-00000B000000}" name="30-34"/>
    <tableColumn id="12" xr3:uid="{00000000-0010-0000-0700-00000C000000}" name="35-39"/>
    <tableColumn id="13" xr3:uid="{00000000-0010-0000-0700-00000D000000}" name="40-44"/>
    <tableColumn id="14" xr3:uid="{00000000-0010-0000-0700-00000E000000}" name="45-49"/>
    <tableColumn id="15" xr3:uid="{00000000-0010-0000-0700-00000F000000}" name="50-54"/>
    <tableColumn id="16" xr3:uid="{00000000-0010-0000-0700-000010000000}" name="55-59"/>
    <tableColumn id="17" xr3:uid="{00000000-0010-0000-0700-000011000000}" name="60-64"/>
    <tableColumn id="18" xr3:uid="{00000000-0010-0000-0700-000012000000}" name="65-69"/>
    <tableColumn id="19" xr3:uid="{00000000-0010-0000-0700-000013000000}" name="70-74"/>
    <tableColumn id="20" xr3:uid="{00000000-0010-0000-0700-000014000000}" name="75-79"/>
    <tableColumn id="21" xr3:uid="{00000000-0010-0000-0700-000015000000}" name="80-84"/>
    <tableColumn id="22" xr3:uid="{00000000-0010-0000-0700-000016000000}" name="85-89"/>
    <tableColumn id="23" xr3:uid="{00000000-0010-0000-0700-000017000000}" name="90+"/>
  </tableColumns>
  <tableStyleInfo name="non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_4b" displayName="table_4b" ref="A45:W80" totalsRowShown="0">
  <tableColumns count="23">
    <tableColumn id="1" xr3:uid="{00000000-0010-0000-0800-000001000000}" name="Week number"/>
    <tableColumn id="2" xr3:uid="{00000000-0010-0000-0800-000002000000}" name="Week ending"/>
    <tableColumn id="3" xr3:uid="{00000000-0010-0000-0800-000003000000}" name="All ages"/>
    <tableColumn id="4" xr3:uid="{00000000-0010-0000-0800-000004000000}" name="&lt;1"/>
    <tableColumn id="5" xr3:uid="{00000000-0010-0000-0800-000005000000}" name="01-04"/>
    <tableColumn id="6" xr3:uid="{00000000-0010-0000-0800-000006000000}" name="05-09"/>
    <tableColumn id="7" xr3:uid="{00000000-0010-0000-0800-000007000000}" name="10-14"/>
    <tableColumn id="8" xr3:uid="{00000000-0010-0000-0800-000008000000}" name="15-19"/>
    <tableColumn id="9" xr3:uid="{00000000-0010-0000-0800-000009000000}" name="20-24"/>
    <tableColumn id="10" xr3:uid="{00000000-0010-0000-0800-00000A000000}" name="25-29"/>
    <tableColumn id="11" xr3:uid="{00000000-0010-0000-0800-00000B000000}" name="30-34"/>
    <tableColumn id="12" xr3:uid="{00000000-0010-0000-0800-00000C000000}" name="35-39"/>
    <tableColumn id="13" xr3:uid="{00000000-0010-0000-0800-00000D000000}" name="40-44"/>
    <tableColumn id="14" xr3:uid="{00000000-0010-0000-0800-00000E000000}" name="45-49"/>
    <tableColumn id="15" xr3:uid="{00000000-0010-0000-0800-00000F000000}" name="50-54"/>
    <tableColumn id="16" xr3:uid="{00000000-0010-0000-0800-000010000000}" name="55-59"/>
    <tableColumn id="17" xr3:uid="{00000000-0010-0000-0800-000011000000}" name="60-64"/>
    <tableColumn id="18" xr3:uid="{00000000-0010-0000-0800-000012000000}" name="65-69"/>
    <tableColumn id="19" xr3:uid="{00000000-0010-0000-0800-000013000000}" name="70-74"/>
    <tableColumn id="20" xr3:uid="{00000000-0010-0000-0800-000014000000}" name="75-79"/>
    <tableColumn id="21" xr3:uid="{00000000-0010-0000-0800-000015000000}" name="80-84"/>
    <tableColumn id="22" xr3:uid="{00000000-0010-0000-0800-000016000000}" name="85-89"/>
    <tableColumn id="23" xr3:uid="{00000000-0010-0000-0800-000017000000}" name="90+"/>
  </tableColumns>
  <tableStyleInfo name="non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_4c" displayName="table_4c" ref="A83:W118" totalsRowShown="0">
  <tableColumns count="23">
    <tableColumn id="1" xr3:uid="{00000000-0010-0000-0900-000001000000}" name="Week number"/>
    <tableColumn id="2" xr3:uid="{00000000-0010-0000-0900-000002000000}" name="Week ending"/>
    <tableColumn id="3" xr3:uid="{00000000-0010-0000-0900-000003000000}" name="All ages"/>
    <tableColumn id="4" xr3:uid="{00000000-0010-0000-0900-000004000000}" name="&lt;1"/>
    <tableColumn id="5" xr3:uid="{00000000-0010-0000-0900-000005000000}" name="01-04"/>
    <tableColumn id="6" xr3:uid="{00000000-0010-0000-0900-000006000000}" name="05-09"/>
    <tableColumn id="7" xr3:uid="{00000000-0010-0000-0900-000007000000}" name="10-14"/>
    <tableColumn id="8" xr3:uid="{00000000-0010-0000-0900-000008000000}" name="15-19"/>
    <tableColumn id="9" xr3:uid="{00000000-0010-0000-0900-000009000000}" name="20-24"/>
    <tableColumn id="10" xr3:uid="{00000000-0010-0000-0900-00000A000000}" name="25-29"/>
    <tableColumn id="11" xr3:uid="{00000000-0010-0000-0900-00000B000000}" name="30-34"/>
    <tableColumn id="12" xr3:uid="{00000000-0010-0000-0900-00000C000000}" name="35-39"/>
    <tableColumn id="13" xr3:uid="{00000000-0010-0000-0900-00000D000000}" name="40-44"/>
    <tableColumn id="14" xr3:uid="{00000000-0010-0000-0900-00000E000000}" name="45-49"/>
    <tableColumn id="15" xr3:uid="{00000000-0010-0000-0900-00000F000000}" name="50-54"/>
    <tableColumn id="16" xr3:uid="{00000000-0010-0000-0900-000010000000}" name="55-59"/>
    <tableColumn id="17" xr3:uid="{00000000-0010-0000-0900-000011000000}" name="60-64"/>
    <tableColumn id="18" xr3:uid="{00000000-0010-0000-0900-000012000000}" name="65-69"/>
    <tableColumn id="19" xr3:uid="{00000000-0010-0000-0900-000013000000}" name="70-74"/>
    <tableColumn id="20" xr3:uid="{00000000-0010-0000-0900-000014000000}" name="75-79"/>
    <tableColumn id="21" xr3:uid="{00000000-0010-0000-0900-000015000000}" name="80-84"/>
    <tableColumn id="22" xr3:uid="{00000000-0010-0000-0900-000016000000}" name="85-89"/>
    <tableColumn id="23" xr3:uid="{00000000-0010-0000-0900-000017000000}" name="90+"/>
  </tableColumns>
  <tableStyleInfo name="non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0A000000}" name="table_5a" displayName="table_5a" ref="A7:W94" totalsRowShown="0">
  <tableColumns count="23">
    <tableColumn id="1" xr3:uid="{00000000-0010-0000-0A00-000001000000}" name="Week number"/>
    <tableColumn id="2" xr3:uid="{00000000-0010-0000-0A00-000002000000}" name="Week ending"/>
    <tableColumn id="3" xr3:uid="{00000000-0010-0000-0A00-000003000000}" name="All ages"/>
    <tableColumn id="4" xr3:uid="{00000000-0010-0000-0A00-000004000000}" name="&lt;1"/>
    <tableColumn id="5" xr3:uid="{00000000-0010-0000-0A00-000005000000}" name="01-04"/>
    <tableColumn id="6" xr3:uid="{00000000-0010-0000-0A00-000006000000}" name="05-09"/>
    <tableColumn id="7" xr3:uid="{00000000-0010-0000-0A00-000007000000}" name="10-14"/>
    <tableColumn id="8" xr3:uid="{00000000-0010-0000-0A00-000008000000}" name="15-19"/>
    <tableColumn id="9" xr3:uid="{00000000-0010-0000-0A00-000009000000}" name="20-24"/>
    <tableColumn id="10" xr3:uid="{00000000-0010-0000-0A00-00000A000000}" name="25-29"/>
    <tableColumn id="11" xr3:uid="{00000000-0010-0000-0A00-00000B000000}" name="30-34"/>
    <tableColumn id="12" xr3:uid="{00000000-0010-0000-0A00-00000C000000}" name="35-39"/>
    <tableColumn id="13" xr3:uid="{00000000-0010-0000-0A00-00000D000000}" name="40-44"/>
    <tableColumn id="14" xr3:uid="{00000000-0010-0000-0A00-00000E000000}" name="45-49"/>
    <tableColumn id="15" xr3:uid="{00000000-0010-0000-0A00-00000F000000}" name="50-54"/>
    <tableColumn id="16" xr3:uid="{00000000-0010-0000-0A00-000010000000}" name="55-59"/>
    <tableColumn id="17" xr3:uid="{00000000-0010-0000-0A00-000011000000}" name="60-64"/>
    <tableColumn id="18" xr3:uid="{00000000-0010-0000-0A00-000012000000}" name="65-69"/>
    <tableColumn id="19" xr3:uid="{00000000-0010-0000-0A00-000013000000}" name="70-74"/>
    <tableColumn id="20" xr3:uid="{00000000-0010-0000-0A00-000014000000}" name="75-79"/>
    <tableColumn id="21" xr3:uid="{00000000-0010-0000-0A00-000015000000}" name="80-84"/>
    <tableColumn id="22" xr3:uid="{00000000-0010-0000-0A00-000016000000}" name="85-89"/>
    <tableColumn id="23" xr3:uid="{00000000-0010-0000-0A00-000017000000}" name="90+"/>
  </tableColumns>
  <tableStyleInfo name="non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0B000000}" name="table_5b" displayName="table_5b" ref="A97:W184" totalsRowShown="0">
  <tableColumns count="23">
    <tableColumn id="1" xr3:uid="{00000000-0010-0000-0B00-000001000000}" name="Week number"/>
    <tableColumn id="2" xr3:uid="{00000000-0010-0000-0B00-000002000000}" name="Week ending"/>
    <tableColumn id="3" xr3:uid="{00000000-0010-0000-0B00-000003000000}" name="All ages"/>
    <tableColumn id="4" xr3:uid="{00000000-0010-0000-0B00-000004000000}" name="&lt;1"/>
    <tableColumn id="5" xr3:uid="{00000000-0010-0000-0B00-000005000000}" name="01-04"/>
    <tableColumn id="6" xr3:uid="{00000000-0010-0000-0B00-000006000000}" name="05-09"/>
    <tableColumn id="7" xr3:uid="{00000000-0010-0000-0B00-000007000000}" name="10-14"/>
    <tableColumn id="8" xr3:uid="{00000000-0010-0000-0B00-000008000000}" name="15-19"/>
    <tableColumn id="9" xr3:uid="{00000000-0010-0000-0B00-000009000000}" name="20-24"/>
    <tableColumn id="10" xr3:uid="{00000000-0010-0000-0B00-00000A000000}" name="25-29"/>
    <tableColumn id="11" xr3:uid="{00000000-0010-0000-0B00-00000B000000}" name="30-34"/>
    <tableColumn id="12" xr3:uid="{00000000-0010-0000-0B00-00000C000000}" name="35-39"/>
    <tableColumn id="13" xr3:uid="{00000000-0010-0000-0B00-00000D000000}" name="40-44"/>
    <tableColumn id="14" xr3:uid="{00000000-0010-0000-0B00-00000E000000}" name="45-49"/>
    <tableColumn id="15" xr3:uid="{00000000-0010-0000-0B00-00000F000000}" name="50-54"/>
    <tableColumn id="16" xr3:uid="{00000000-0010-0000-0B00-000010000000}" name="55-59"/>
    <tableColumn id="17" xr3:uid="{00000000-0010-0000-0B00-000011000000}" name="60-64"/>
    <tableColumn id="18" xr3:uid="{00000000-0010-0000-0B00-000012000000}" name="65-69"/>
    <tableColumn id="19" xr3:uid="{00000000-0010-0000-0B00-000013000000}" name="70-74"/>
    <tableColumn id="20" xr3:uid="{00000000-0010-0000-0B00-000014000000}" name="75-79"/>
    <tableColumn id="21" xr3:uid="{00000000-0010-0000-0B00-000015000000}" name="80-84"/>
    <tableColumn id="22" xr3:uid="{00000000-0010-0000-0B00-000016000000}" name="85-89"/>
    <tableColumn id="23" xr3:uid="{00000000-0010-0000-0B00-000017000000}" name="90+"/>
  </tableColumns>
  <tableStyleInfo name="non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C000000}" name="table_5c" displayName="table_5c" ref="A187:W274" totalsRowShown="0">
  <tableColumns count="23">
    <tableColumn id="1" xr3:uid="{00000000-0010-0000-0C00-000001000000}" name="Week number"/>
    <tableColumn id="2" xr3:uid="{00000000-0010-0000-0C00-000002000000}" name="Week ending"/>
    <tableColumn id="3" xr3:uid="{00000000-0010-0000-0C00-000003000000}" name="All ages"/>
    <tableColumn id="4" xr3:uid="{00000000-0010-0000-0C00-000004000000}" name="&lt;1"/>
    <tableColumn id="5" xr3:uid="{00000000-0010-0000-0C00-000005000000}" name="01-04"/>
    <tableColumn id="6" xr3:uid="{00000000-0010-0000-0C00-000006000000}" name="05-09"/>
    <tableColumn id="7" xr3:uid="{00000000-0010-0000-0C00-000007000000}" name="10-14"/>
    <tableColumn id="8" xr3:uid="{00000000-0010-0000-0C00-000008000000}" name="15-19"/>
    <tableColumn id="9" xr3:uid="{00000000-0010-0000-0C00-000009000000}" name="20-24"/>
    <tableColumn id="10" xr3:uid="{00000000-0010-0000-0C00-00000A000000}" name="25-29"/>
    <tableColumn id="11" xr3:uid="{00000000-0010-0000-0C00-00000B000000}" name="30-34"/>
    <tableColumn id="12" xr3:uid="{00000000-0010-0000-0C00-00000C000000}" name="35-39"/>
    <tableColumn id="13" xr3:uid="{00000000-0010-0000-0C00-00000D000000}" name="40-44"/>
    <tableColumn id="14" xr3:uid="{00000000-0010-0000-0C00-00000E000000}" name="45-49"/>
    <tableColumn id="15" xr3:uid="{00000000-0010-0000-0C00-00000F000000}" name="50-54"/>
    <tableColumn id="16" xr3:uid="{00000000-0010-0000-0C00-000010000000}" name="55-59"/>
    <tableColumn id="17" xr3:uid="{00000000-0010-0000-0C00-000011000000}" name="60-64"/>
    <tableColumn id="18" xr3:uid="{00000000-0010-0000-0C00-000012000000}" name="65-69"/>
    <tableColumn id="19" xr3:uid="{00000000-0010-0000-0C00-000013000000}" name="70-74"/>
    <tableColumn id="20" xr3:uid="{00000000-0010-0000-0C00-000014000000}" name="75-79"/>
    <tableColumn id="21" xr3:uid="{00000000-0010-0000-0C00-000015000000}" name="80-84"/>
    <tableColumn id="22" xr3:uid="{00000000-0010-0000-0C00-000016000000}" name="85-89"/>
    <tableColumn id="23" xr3:uid="{00000000-0010-0000-0C00-000017000000}" name="90+"/>
  </tableColumns>
  <tableStyleInfo name="non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D000000}" name="table_6" displayName="table_6" ref="A6:H41" totalsRowShown="0">
  <tableColumns count="8">
    <tableColumn id="1" xr3:uid="{00000000-0010-0000-0D00-000001000000}" name="Week number"/>
    <tableColumn id="2" xr3:uid="{00000000-0010-0000-0D00-000002000000}" name="Week ending"/>
    <tableColumn id="3" xr3:uid="{00000000-0010-0000-0D00-000003000000}" name="Total deaths"/>
    <tableColumn id="4" xr3:uid="{00000000-0010-0000-0D00-000004000000}" name="England and Wales"/>
    <tableColumn id="5" xr3:uid="{00000000-0010-0000-0D00-000005000000}" name="England"/>
    <tableColumn id="6" xr3:uid="{00000000-0010-0000-0D00-000006000000}" name="Wales"/>
    <tableColumn id="7" xr3:uid="{00000000-0010-0000-0D00-000007000000}" name="Scotland"/>
    <tableColumn id="8" xr3:uid="{00000000-0010-0000-0D00-000008000000}" name="Northern Ireland"/>
  </tableColumns>
  <tableStyleInfo name="non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E000000}" name="table_7a" displayName="table_7a" ref="A7:I42" totalsRowShown="0">
  <tableColumns count="9">
    <tableColumn id="1" xr3:uid="{00000000-0010-0000-0E00-000001000000}" name="Week number"/>
    <tableColumn id="2" xr3:uid="{00000000-0010-0000-0E00-000002000000}" name="Week ending"/>
    <tableColumn id="3" xr3:uid="{00000000-0010-0000-0E00-000003000000}" name="&lt;1"/>
    <tableColumn id="4" xr3:uid="{00000000-0010-0000-0E00-000004000000}" name="01-14"/>
    <tableColumn id="5" xr3:uid="{00000000-0010-0000-0E00-000005000000}" name="15-44"/>
    <tableColumn id="6" xr3:uid="{00000000-0010-0000-0E00-000006000000}" name="45-64"/>
    <tableColumn id="7" xr3:uid="{00000000-0010-0000-0E00-000007000000}" name="65-74"/>
    <tableColumn id="8" xr3:uid="{00000000-0010-0000-0E00-000008000000}" name="75-84"/>
    <tableColumn id="9" xr3:uid="{00000000-0010-0000-0E00-000009000000}" name="85+"/>
  </tableColumns>
  <tableStyleInfo name="non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F000000}" name="table_7b" displayName="table_7b" ref="A45:I80" totalsRowShown="0">
  <tableColumns count="9">
    <tableColumn id="1" xr3:uid="{00000000-0010-0000-0F00-000001000000}" name="Week number"/>
    <tableColumn id="2" xr3:uid="{00000000-0010-0000-0F00-000002000000}" name="Week ending"/>
    <tableColumn id="3" xr3:uid="{00000000-0010-0000-0F00-000003000000}" name="&lt;1"/>
    <tableColumn id="4" xr3:uid="{00000000-0010-0000-0F00-000004000000}" name="01-14"/>
    <tableColumn id="5" xr3:uid="{00000000-0010-0000-0F00-000005000000}" name="15-44"/>
    <tableColumn id="6" xr3:uid="{00000000-0010-0000-0F00-000006000000}" name="45-64"/>
    <tableColumn id="7" xr3:uid="{00000000-0010-0000-0F00-000007000000}" name="65-74"/>
    <tableColumn id="8" xr3:uid="{00000000-0010-0000-0F00-000008000000}" name="75-84"/>
    <tableColumn id="9" xr3:uid="{00000000-0010-0000-0F00-000009000000}" name="85+"/>
  </tableColumns>
  <tableStyleInfo name="non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0000000}" name="table_7c" displayName="table_7c" ref="A83:I118" totalsRowShown="0">
  <tableColumns count="9">
    <tableColumn id="1" xr3:uid="{00000000-0010-0000-1000-000001000000}" name="Week number"/>
    <tableColumn id="2" xr3:uid="{00000000-0010-0000-1000-000002000000}" name="Week ending"/>
    <tableColumn id="3" xr3:uid="{00000000-0010-0000-1000-000003000000}" name="&lt;1"/>
    <tableColumn id="4" xr3:uid="{00000000-0010-0000-1000-000004000000}" name="01-14"/>
    <tableColumn id="5" xr3:uid="{00000000-0010-0000-1000-000005000000}" name="15-44"/>
    <tableColumn id="6" xr3:uid="{00000000-0010-0000-1000-000006000000}" name="45-64"/>
    <tableColumn id="7" xr3:uid="{00000000-0010-0000-1000-000007000000}" name="65-74"/>
    <tableColumn id="8" xr3:uid="{00000000-0010-0000-1000-000008000000}" name="75-84"/>
    <tableColumn id="9" xr3:uid="{00000000-0010-0000-1000-000009000000}" name="85+"/>
  </tableColumns>
  <tableStyleInfo name="non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1000000}" name="table_8" displayName="table_8" ref="A6:P611" totalsRowShown="0">
  <tableColumns count="16">
    <tableColumn id="1" xr3:uid="{00000000-0010-0000-1100-000001000000}" name="Date"/>
    <tableColumn id="2" xr3:uid="{00000000-0010-0000-1100-000002000000}" name="UK"/>
    <tableColumn id="3" xr3:uid="{00000000-0010-0000-1100-000003000000}" name="England and Wales"/>
    <tableColumn id="4" xr3:uid="{00000000-0010-0000-1100-000004000000}" name="England"/>
    <tableColumn id="5" xr3:uid="{00000000-0010-0000-1100-000005000000}" name="Wales"/>
    <tableColumn id="6" xr3:uid="{00000000-0010-0000-1100-000006000000}" name="Scotland"/>
    <tableColumn id="7" xr3:uid="{00000000-0010-0000-1100-000007000000}" name="Northern Ireland"/>
    <tableColumn id="8" xr3:uid="{00000000-0010-0000-1100-000008000000}" name="North East"/>
    <tableColumn id="9" xr3:uid="{00000000-0010-0000-1100-000009000000}" name="North West"/>
    <tableColumn id="10" xr3:uid="{00000000-0010-0000-1100-00000A000000}" name="Yorkshire and The Humber"/>
    <tableColumn id="11" xr3:uid="{00000000-0010-0000-1100-00000B000000}" name="East Midlands"/>
    <tableColumn id="12" xr3:uid="{00000000-0010-0000-1100-00000C000000}" name="West Midlands"/>
    <tableColumn id="13" xr3:uid="{00000000-0010-0000-1100-00000D000000}" name="East of England"/>
    <tableColumn id="14" xr3:uid="{00000000-0010-0000-1100-00000E000000}" name="London"/>
    <tableColumn id="15" xr3:uid="{00000000-0010-0000-1100-00000F000000}" name="South East"/>
    <tableColumn id="16" xr3:uid="{00000000-0010-0000-1100-000010000000}" name="South West"/>
  </tableColumns>
  <tableStyleInfo name="non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2000000}" name="table_9" displayName="table_9" ref="A6:P615" totalsRowShown="0">
  <tableColumns count="16">
    <tableColumn id="1" xr3:uid="{00000000-0010-0000-1200-000001000000}" name="Date"/>
    <tableColumn id="2" xr3:uid="{00000000-0010-0000-1200-000002000000}" name="UK"/>
    <tableColumn id="3" xr3:uid="{00000000-0010-0000-1200-000003000000}" name="England and Wales"/>
    <tableColumn id="4" xr3:uid="{00000000-0010-0000-1200-000004000000}" name="England"/>
    <tableColumn id="5" xr3:uid="{00000000-0010-0000-1200-000005000000}" name="Wales"/>
    <tableColumn id="6" xr3:uid="{00000000-0010-0000-1200-000006000000}" name="Scotland"/>
    <tableColumn id="7" xr3:uid="{00000000-0010-0000-1200-000007000000}" name="Northern Ireland"/>
    <tableColumn id="8" xr3:uid="{00000000-0010-0000-1200-000008000000}" name="North East"/>
    <tableColumn id="9" xr3:uid="{00000000-0010-0000-1200-000009000000}" name="North West"/>
    <tableColumn id="10" xr3:uid="{00000000-0010-0000-1200-00000A000000}" name="Yorkshire and The Humber"/>
    <tableColumn id="11" xr3:uid="{00000000-0010-0000-1200-00000B000000}" name="East Midlands"/>
    <tableColumn id="12" xr3:uid="{00000000-0010-0000-1200-00000C000000}" name="West Midlands"/>
    <tableColumn id="13" xr3:uid="{00000000-0010-0000-1200-00000D000000}" name="East of England"/>
    <tableColumn id="14" xr3:uid="{00000000-0010-0000-1200-00000E000000}" name="London"/>
    <tableColumn id="15" xr3:uid="{00000000-0010-0000-1200-00000F000000}" name="South East"/>
    <tableColumn id="16" xr3:uid="{00000000-0010-0000-1200-000010000000}" name="South West"/>
  </tableColumns>
  <tableStyleInfo name="non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3000000}" name="table_10" displayName="table_10" ref="A6:Q41" totalsRowShown="0">
  <tableColumns count="17">
    <tableColumn id="1" xr3:uid="{00000000-0010-0000-1300-000001000000}" name="Week number"/>
    <tableColumn id="2" xr3:uid="{00000000-0010-0000-1300-000002000000}" name="Home All deaths"/>
    <tableColumn id="3" xr3:uid="{00000000-0010-0000-1300-000003000000}" name="Home COVID-19 deaths"/>
    <tableColumn id="4" xr3:uid="{00000000-0010-0000-1300-000004000000}" name="Home Five-year average"/>
    <tableColumn id="5" xr3:uid="{00000000-0010-0000-1300-000005000000}" name="Home Excess deaths"/>
    <tableColumn id="6" xr3:uid="{00000000-0010-0000-1300-000006000000}" name="Hospital All deaths"/>
    <tableColumn id="7" xr3:uid="{00000000-0010-0000-1300-000007000000}" name="Hospital COVID-19 deaths"/>
    <tableColumn id="8" xr3:uid="{00000000-0010-0000-1300-000008000000}" name="Hospital Five-year average"/>
    <tableColumn id="9" xr3:uid="{00000000-0010-0000-1300-000009000000}" name="Hospital Excess deaths"/>
    <tableColumn id="10" xr3:uid="{00000000-0010-0000-1300-00000A000000}" name="Care home All deaths"/>
    <tableColumn id="11" xr3:uid="{00000000-0010-0000-1300-00000B000000}" name="Care home COVID-19 deaths"/>
    <tableColumn id="12" xr3:uid="{00000000-0010-0000-1300-00000C000000}" name="Care home Five-year average"/>
    <tableColumn id="13" xr3:uid="{00000000-0010-0000-1300-00000D000000}" name="Care home Excess deaths"/>
    <tableColumn id="14" xr3:uid="{00000000-0010-0000-1300-00000E000000}" name="Other All deaths"/>
    <tableColumn id="15" xr3:uid="{00000000-0010-0000-1300-00000F000000}" name="Other COVID-19 deaths"/>
    <tableColumn id="16" xr3:uid="{00000000-0010-0000-1300-000010000000}" name="Other Five-year average"/>
    <tableColumn id="17" xr3:uid="{00000000-0010-0000-1300-000011000000}" name="Other Excess deaths"/>
  </tableColumns>
  <tableStyleInfo name="non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4000000}" name="table_11" displayName="table_11" ref="A7:H34" totalsRowShown="0">
  <tableColumns count="8">
    <tableColumn id="1" xr3:uid="{00000000-0010-0000-1400-000001000000}" name="Week number"/>
    <tableColumn id="2" xr3:uid="{00000000-0010-0000-1400-000002000000}" name="Week ended"/>
    <tableColumn id="3" xr3:uid="{00000000-0010-0000-1400-000003000000}" name="Estimated total death occurrences"/>
    <tableColumn id="4" xr3:uid="{00000000-0010-0000-1400-000004000000}" name="Upper 95% confidence interval"/>
    <tableColumn id="5" xr3:uid="{00000000-0010-0000-1400-000005000000}" name="Lower 95% confidence interval"/>
    <tableColumn id="6" xr3:uid="{00000000-0010-0000-1400-000006000000}" name="Five-year average occurrences"/>
    <tableColumn id="7" xr3:uid="{00000000-0010-0000-1400-000007000000}" name="Death occurrences in 2021"/>
    <tableColumn id="8" xr3:uid="{00000000-0010-0000-1400-000008000000}" name="Death occurrences in 2022"/>
  </tableColumns>
  <tableStyleInfo name="non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5000000}" name="table_12a1" displayName="table_12a1" ref="A7:L42" totalsRowShown="0">
  <tableColumns count="12">
    <tableColumn id="1" xr3:uid="{00000000-0010-0000-1500-000001000000}" name="Week number"/>
    <tableColumn id="2" xr3:uid="{00000000-0010-0000-1500-000002000000}" name="Week ending"/>
    <tableColumn id="3" xr3:uid="{00000000-0010-0000-1500-000003000000}" name="North East"/>
    <tableColumn id="4" xr3:uid="{00000000-0010-0000-1500-000004000000}" name="North West"/>
    <tableColumn id="5" xr3:uid="{00000000-0010-0000-1500-000005000000}" name="Yorkshire and The Humber"/>
    <tableColumn id="6" xr3:uid="{00000000-0010-0000-1500-000006000000}" name="East Midlands"/>
    <tableColumn id="7" xr3:uid="{00000000-0010-0000-1500-000007000000}" name="West Midlands"/>
    <tableColumn id="8" xr3:uid="{00000000-0010-0000-1500-000008000000}" name="East of England"/>
    <tableColumn id="9" xr3:uid="{00000000-0010-0000-1500-000009000000}" name="London"/>
    <tableColumn id="10" xr3:uid="{00000000-0010-0000-1500-00000A000000}" name="South East"/>
    <tableColumn id="11" xr3:uid="{00000000-0010-0000-1500-00000B000000}" name="South West"/>
    <tableColumn id="12" xr3:uid="{00000000-0010-0000-1500-00000C000000}" name="Wales"/>
  </tableColumns>
  <tableStyleInfo name="non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6000000}" name="table_12a2" displayName="table_12a2" ref="A45:L80" totalsRowShown="0">
  <tableColumns count="12">
    <tableColumn id="1" xr3:uid="{00000000-0010-0000-1600-000001000000}" name="Week number"/>
    <tableColumn id="2" xr3:uid="{00000000-0010-0000-1600-000002000000}" name="Week ending"/>
    <tableColumn id="3" xr3:uid="{00000000-0010-0000-1600-000003000000}" name="North East"/>
    <tableColumn id="4" xr3:uid="{00000000-0010-0000-1600-000004000000}" name="North West"/>
    <tableColumn id="5" xr3:uid="{00000000-0010-0000-1600-000005000000}" name="Yorkshire and The Humber"/>
    <tableColumn id="6" xr3:uid="{00000000-0010-0000-1600-000006000000}" name="East Midlands"/>
    <tableColumn id="7" xr3:uid="{00000000-0010-0000-1600-000007000000}" name="West Midlands"/>
    <tableColumn id="8" xr3:uid="{00000000-0010-0000-1600-000008000000}" name="East of England"/>
    <tableColumn id="9" xr3:uid="{00000000-0010-0000-1600-000009000000}" name="London"/>
    <tableColumn id="10" xr3:uid="{00000000-0010-0000-1600-00000A000000}" name="South East"/>
    <tableColumn id="11" xr3:uid="{00000000-0010-0000-1600-00000B000000}" name="South West"/>
    <tableColumn id="12" xr3:uid="{00000000-0010-0000-1600-00000C000000}" name="Wales"/>
  </tableColumns>
  <tableStyleInfo name="non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7000000}" name="table_12b" displayName="table_12b" ref="A6:L93" totalsRowShown="0">
  <tableColumns count="12">
    <tableColumn id="1" xr3:uid="{00000000-0010-0000-1700-000001000000}" name="Week number"/>
    <tableColumn id="2" xr3:uid="{00000000-0010-0000-1700-000002000000}" name="Week ending"/>
    <tableColumn id="3" xr3:uid="{00000000-0010-0000-1700-000003000000}" name="North East"/>
    <tableColumn id="4" xr3:uid="{00000000-0010-0000-1700-000004000000}" name="North West"/>
    <tableColumn id="5" xr3:uid="{00000000-0010-0000-1700-000005000000}" name="Yorkshire and The Humber"/>
    <tableColumn id="6" xr3:uid="{00000000-0010-0000-1700-000006000000}" name="East Midlands"/>
    <tableColumn id="7" xr3:uid="{00000000-0010-0000-1700-000007000000}" name="West Midlands"/>
    <tableColumn id="8" xr3:uid="{00000000-0010-0000-1700-000008000000}" name="East of England"/>
    <tableColumn id="9" xr3:uid="{00000000-0010-0000-1700-000009000000}" name="London"/>
    <tableColumn id="10" xr3:uid="{00000000-0010-0000-1700-00000A000000}" name="South East"/>
    <tableColumn id="11" xr3:uid="{00000000-0010-0000-1700-00000B000000}" name="South West"/>
    <tableColumn id="12" xr3:uid="{00000000-0010-0000-1700-00000C000000}" name="Wales"/>
  </tableColumns>
  <tableStyleInfo name="non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8000000}" name="table_13a" displayName="table_13a" ref="A7:I43" totalsRowShown="0">
  <tableColumns count="9">
    <tableColumn id="1" xr3:uid="{00000000-0010-0000-1800-000001000000}" name="Week number"/>
    <tableColumn id="2" xr3:uid="{00000000-0010-0000-1800-000002000000}" name="Week ending"/>
    <tableColumn id="3" xr3:uid="{00000000-0010-0000-1800-000003000000}" name="Total deaths"/>
    <tableColumn id="4" xr3:uid="{00000000-0010-0000-1800-000004000000}" name="Home"/>
    <tableColumn id="5" xr3:uid="{00000000-0010-0000-1800-000005000000}" name="Hospital"/>
    <tableColumn id="6" xr3:uid="{00000000-0010-0000-1800-000006000000}" name="Hospice"/>
    <tableColumn id="7" xr3:uid="{00000000-0010-0000-1800-000007000000}" name="Care home"/>
    <tableColumn id="8" xr3:uid="{00000000-0010-0000-1800-000008000000}" name="Other communal establishment"/>
    <tableColumn id="9" xr3:uid="{00000000-0010-0000-1800-000009000000}" name="Elsewhere"/>
  </tableColumns>
  <tableStyleInfo name="non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9000000}" name="table_13b" displayName="table_13b" ref="A46:I82" totalsRowShown="0">
  <tableColumns count="9">
    <tableColumn id="1" xr3:uid="{00000000-0010-0000-1900-000001000000}" name="Week number"/>
    <tableColumn id="2" xr3:uid="{00000000-0010-0000-1900-000002000000}" name="Week ending"/>
    <tableColumn id="3" xr3:uid="{00000000-0010-0000-1900-000003000000}" name="Total deaths"/>
    <tableColumn id="4" xr3:uid="{00000000-0010-0000-1900-000004000000}" name="Home"/>
    <tableColumn id="5" xr3:uid="{00000000-0010-0000-1900-000005000000}" name="Hospital"/>
    <tableColumn id="6" xr3:uid="{00000000-0010-0000-1900-000006000000}" name="Hospice"/>
    <tableColumn id="7" xr3:uid="{00000000-0010-0000-1900-000007000000}" name="Care home"/>
    <tableColumn id="8" xr3:uid="{00000000-0010-0000-1900-000008000000}" name="Other communal establishment"/>
    <tableColumn id="9" xr3:uid="{00000000-0010-0000-1900-000009000000}" name="Elsewhere"/>
  </tableColumns>
  <tableStyleInfo name="non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A000000}" name="table_13c" displayName="table_13c" ref="A85:I121" totalsRowShown="0">
  <tableColumns count="9">
    <tableColumn id="1" xr3:uid="{00000000-0010-0000-1A00-000001000000}" name="Week number"/>
    <tableColumn id="2" xr3:uid="{00000000-0010-0000-1A00-000002000000}" name="Week ending"/>
    <tableColumn id="3" xr3:uid="{00000000-0010-0000-1A00-000003000000}" name="Total deaths"/>
    <tableColumn id="4" xr3:uid="{00000000-0010-0000-1A00-000004000000}" name="Home"/>
    <tableColumn id="5" xr3:uid="{00000000-0010-0000-1A00-000005000000}" name="Hospital"/>
    <tableColumn id="6" xr3:uid="{00000000-0010-0000-1A00-000006000000}" name="Hospice"/>
    <tableColumn id="7" xr3:uid="{00000000-0010-0000-1A00-000007000000}" name="Care home"/>
    <tableColumn id="8" xr3:uid="{00000000-0010-0000-1A00-000008000000}" name="Other communal establishment"/>
    <tableColumn id="9" xr3:uid="{00000000-0010-0000-1A00-000009000000}" name="Elsewhere"/>
  </tableColumns>
  <tableStyleInfo name="non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B000000}" name="table_14a" displayName="table_14a" ref="A7:I43" totalsRowShown="0">
  <tableColumns count="9">
    <tableColumn id="1" xr3:uid="{00000000-0010-0000-1B00-000001000000}" name="Week number"/>
    <tableColumn id="2" xr3:uid="{00000000-0010-0000-1B00-000002000000}" name="Week ending"/>
    <tableColumn id="3" xr3:uid="{00000000-0010-0000-1B00-000003000000}" name="Total deaths"/>
    <tableColumn id="4" xr3:uid="{00000000-0010-0000-1B00-000004000000}" name="Home"/>
    <tableColumn id="5" xr3:uid="{00000000-0010-0000-1B00-000005000000}" name="Hospital"/>
    <tableColumn id="6" xr3:uid="{00000000-0010-0000-1B00-000006000000}" name="Hospice"/>
    <tableColumn id="7" xr3:uid="{00000000-0010-0000-1B00-000007000000}" name="Care home"/>
    <tableColumn id="8" xr3:uid="{00000000-0010-0000-1B00-000008000000}" name="Other communal establishment"/>
    <tableColumn id="9" xr3:uid="{00000000-0010-0000-1B00-000009000000}" name="Elsewhere"/>
  </tableColumns>
  <tableStyleInfo name="non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C000000}" name="table_14b" displayName="table_14b" ref="A46:I82" totalsRowShown="0">
  <tableColumns count="9">
    <tableColumn id="1" xr3:uid="{00000000-0010-0000-1C00-000001000000}" name="Week number"/>
    <tableColumn id="2" xr3:uid="{00000000-0010-0000-1C00-000002000000}" name="Week ending"/>
    <tableColumn id="3" xr3:uid="{00000000-0010-0000-1C00-000003000000}" name="Total deaths"/>
    <tableColumn id="4" xr3:uid="{00000000-0010-0000-1C00-000004000000}" name="Home"/>
    <tableColumn id="5" xr3:uid="{00000000-0010-0000-1C00-000005000000}" name="Hospital"/>
    <tableColumn id="6" xr3:uid="{00000000-0010-0000-1C00-000006000000}" name="Hospice"/>
    <tableColumn id="7" xr3:uid="{00000000-0010-0000-1C00-000007000000}" name="Care home"/>
    <tableColumn id="8" xr3:uid="{00000000-0010-0000-1C00-000008000000}" name="Other communal establishment"/>
    <tableColumn id="9" xr3:uid="{00000000-0010-0000-1C00-000009000000}" name="Elsewhere"/>
  </tableColumns>
  <tableStyleInfo name="non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D000000}" name="table_14c" displayName="table_14c" ref="A85:I121" totalsRowShown="0">
  <tableColumns count="9">
    <tableColumn id="1" xr3:uid="{00000000-0010-0000-1D00-000001000000}" name="Week number"/>
    <tableColumn id="2" xr3:uid="{00000000-0010-0000-1D00-000002000000}" name="Week ending"/>
    <tableColumn id="3" xr3:uid="{00000000-0010-0000-1D00-000003000000}" name="Total deaths"/>
    <tableColumn id="4" xr3:uid="{00000000-0010-0000-1D00-000004000000}" name="Home"/>
    <tableColumn id="5" xr3:uid="{00000000-0010-0000-1D00-000005000000}" name="Hospital"/>
    <tableColumn id="6" xr3:uid="{00000000-0010-0000-1D00-000006000000}" name="Hospice"/>
    <tableColumn id="7" xr3:uid="{00000000-0010-0000-1D00-000007000000}" name="Care home"/>
    <tableColumn id="8" xr3:uid="{00000000-0010-0000-1D00-000008000000}" name="Other communal establishment"/>
    <tableColumn id="9" xr3:uid="{00000000-0010-0000-1D00-000009000000}" name="Elsewhere"/>
  </tableColumns>
  <tableStyleInfo name="non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20psi@nationalarchives.gov.uk" TargetMode="External"/><Relationship Id="rId3" Type="http://schemas.openxmlformats.org/officeDocument/2006/relationships/hyperlink" Target="https://www.ons.gov.uk/peoplepopulationandcommunity/birthsdeathsandmarriages/deaths/articles/causeofdeathcodinginmortalitystatisticssoftwarechanges/january2022" TargetMode="External"/><Relationship Id="rId7" Type="http://schemas.openxmlformats.org/officeDocument/2006/relationships/hyperlink" Target="http://www.nationalarchives.gov.uk/doc/open-government-licence" TargetMode="External"/><Relationship Id="rId2" Type="http://schemas.openxmlformats.org/officeDocument/2006/relationships/hyperlink" Target="https://www.ons.gov.uk/peoplepopulationandcommunity/birthsdeathsandmarriages/deaths/methodologies/userguidetomortalitystatisticsjuly2017" TargetMode="External"/><Relationship Id="rId1" Type="http://schemas.openxmlformats.org/officeDocument/2006/relationships/hyperlink" Target="https://www.ons.gov.uk/peoplepopulationandcommunity/birthsdeathsandmarriages/deaths/datasets/weeklyprovisionalfiguresondeathsregisteredinenglandandwales" TargetMode="External"/><Relationship Id="rId6" Type="http://schemas.openxmlformats.org/officeDocument/2006/relationships/hyperlink" Target="mailto:health.data@ons.gov.uk" TargetMode="External"/><Relationship Id="rId5" Type="http://schemas.openxmlformats.org/officeDocument/2006/relationships/hyperlink" Target="https://www.ons.gov.uk/search?q=deaths&amp;sortBy=relevance&amp;filter=user_requested_data&amp;q=deaths&amp;size=10" TargetMode="External"/><Relationship Id="rId4" Type="http://schemas.openxmlformats.org/officeDocument/2006/relationships/hyperlink" Target="https://www.ons.gov.uk/methodology/methodologytopicsandstatisticalconcepts/disclosurecontrol/policyonprotectingconfidentialityintablesofbirthanddeathstatistics" TargetMode="External"/><Relationship Id="rId9" Type="http://schemas.openxmlformats.org/officeDocument/2006/relationships/hyperlink" Target="http://www.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nisra.gov.uk/statistics/ni-summary-statistics/coronavirus-covid-19-statistics" TargetMode="External"/><Relationship Id="rId3" Type="http://schemas.openxmlformats.org/officeDocument/2006/relationships/hyperlink" Target="https://www.ons.gov.uk/peoplepopulationandcommunity/birthsdeathsandmarriages/deaths/articles/impactofregistrationdelaysonmortalitystatisticsinenglandandwales/latest" TargetMode="External"/><Relationship Id="rId7" Type="http://schemas.openxmlformats.org/officeDocument/2006/relationships/hyperlink" Target="https://www.nrscotland.gov.uk/covid19stats" TargetMode="External"/><Relationship Id="rId2" Type="http://schemas.openxmlformats.org/officeDocument/2006/relationships/hyperlink" Target="https://www.ons.gov.uk/peoplepopulationandcommunity/birthsdeathsandmarriages/deaths/articles/impactofregistrationdelaysonmortalitystatisticsinenglandandwales/latest" TargetMode="External"/><Relationship Id="rId1" Type="http://schemas.openxmlformats.org/officeDocument/2006/relationships/hyperlink" Target="https://www.ons.gov.uk/peoplepopulationandcommunity/birthsdeathsandmarriages/deaths/bulletins/deathsregisteredweeklyinenglandandwalesprovisional/latest" TargetMode="External"/><Relationship Id="rId6" Type="http://schemas.openxmlformats.org/officeDocument/2006/relationships/hyperlink" Target="https://www.ons.gov.uk/peoplepopulationandcommunity/birthsdeathsandmarriages/deaths/articles/causeofdeathcodinginmortalitystatisticssoftwarechanges/january2022" TargetMode="External"/><Relationship Id="rId5" Type="http://schemas.openxmlformats.org/officeDocument/2006/relationships/hyperlink" Target="https://www.ons.gov.uk/peoplepopulationandcommunity/birthsdeathsandmarriages/deaths/methodologies/userguidetomortalitystatisticsjuly2017" TargetMode="External"/><Relationship Id="rId10" Type="http://schemas.openxmlformats.org/officeDocument/2006/relationships/table" Target="../tables/table2.xml"/><Relationship Id="rId4" Type="http://schemas.openxmlformats.org/officeDocument/2006/relationships/hyperlink" Target="https://www.ons.gov.uk/peoplepopulationandcommunity/birthsdeathsandmarriages/deaths/datasets/weeklyprovisionalfiguresondeathsregisteredinenglandandwales" TargetMode="External"/><Relationship Id="rId9" Type="http://schemas.openxmlformats.org/officeDocument/2006/relationships/hyperlink" Target="https://www.ons.gov.uk/peoplepopulationandcommunity/birthsdeathsandmarriages/deaths/datasets/carehomeresidentdeathsregisteredinenglandandwalesprovisional"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table" Target="../tables/table2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table" Target="../tables/table25.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7"/>
  <sheetViews>
    <sheetView showGridLines="0" tabSelected="1" workbookViewId="0"/>
  </sheetViews>
  <sheetFormatPr defaultColWidth="10.90625" defaultRowHeight="15" x14ac:dyDescent="0.25"/>
  <cols>
    <col min="1" max="1" width="80.81640625" customWidth="1"/>
  </cols>
  <sheetData>
    <row r="1" spans="1:1" ht="17.399999999999999" x14ac:dyDescent="0.3">
      <c r="A1" s="1" t="s">
        <v>260</v>
      </c>
    </row>
    <row r="2" spans="1:1" ht="49.95" customHeight="1" x14ac:dyDescent="0.3">
      <c r="A2" s="3" t="s">
        <v>0</v>
      </c>
    </row>
    <row r="3" spans="1:1" ht="60" x14ac:dyDescent="0.25">
      <c r="A3" s="2" t="s">
        <v>1</v>
      </c>
    </row>
    <row r="4" spans="1:1" ht="49.95" customHeight="1" x14ac:dyDescent="0.3">
      <c r="A4" s="3" t="s">
        <v>2</v>
      </c>
    </row>
    <row r="5" spans="1:1" ht="30" x14ac:dyDescent="0.25">
      <c r="A5" s="2" t="s">
        <v>3</v>
      </c>
    </row>
    <row r="6" spans="1:1" ht="45" x14ac:dyDescent="0.25">
      <c r="A6" s="2" t="s">
        <v>4</v>
      </c>
    </row>
    <row r="7" spans="1:1" x14ac:dyDescent="0.25">
      <c r="A7" s="2" t="s">
        <v>5</v>
      </c>
    </row>
    <row r="8" spans="1:1" x14ac:dyDescent="0.25">
      <c r="A8" s="2" t="s">
        <v>6</v>
      </c>
    </row>
    <row r="9" spans="1:1" x14ac:dyDescent="0.25">
      <c r="A9" s="2" t="s">
        <v>7</v>
      </c>
    </row>
    <row r="10" spans="1:1" x14ac:dyDescent="0.25">
      <c r="A10" s="2" t="s">
        <v>8</v>
      </c>
    </row>
    <row r="11" spans="1:1" x14ac:dyDescent="0.25">
      <c r="A11" s="2" t="s">
        <v>9</v>
      </c>
    </row>
    <row r="12" spans="1:1" ht="30" x14ac:dyDescent="0.25">
      <c r="A12" s="2" t="s">
        <v>10</v>
      </c>
    </row>
    <row r="13" spans="1:1" ht="49.95" customHeight="1" x14ac:dyDescent="0.3">
      <c r="A13" s="3" t="s">
        <v>11</v>
      </c>
    </row>
    <row r="14" spans="1:1" ht="75" x14ac:dyDescent="0.25">
      <c r="A14" s="2" t="s">
        <v>12</v>
      </c>
    </row>
    <row r="15" spans="1:1" ht="60" x14ac:dyDescent="0.25">
      <c r="A15" s="2" t="s">
        <v>13</v>
      </c>
    </row>
    <row r="16" spans="1:1" ht="45" x14ac:dyDescent="0.25">
      <c r="A16" s="2" t="s">
        <v>14</v>
      </c>
    </row>
    <row r="17" spans="1:1" ht="45" x14ac:dyDescent="0.25">
      <c r="A17" s="2" t="s">
        <v>15</v>
      </c>
    </row>
    <row r="18" spans="1:1" x14ac:dyDescent="0.25">
      <c r="A18" s="4" t="s">
        <v>16</v>
      </c>
    </row>
    <row r="19" spans="1:1" ht="49.95" customHeight="1" x14ac:dyDescent="0.3">
      <c r="A19" s="3" t="s">
        <v>17</v>
      </c>
    </row>
    <row r="20" spans="1:1" ht="45" x14ac:dyDescent="0.25">
      <c r="A20" s="2" t="s">
        <v>18</v>
      </c>
    </row>
    <row r="21" spans="1:1" ht="60" x14ac:dyDescent="0.25">
      <c r="A21" s="2" t="s">
        <v>19</v>
      </c>
    </row>
    <row r="22" spans="1:1" x14ac:dyDescent="0.25">
      <c r="A22" s="4" t="s">
        <v>20</v>
      </c>
    </row>
    <row r="23" spans="1:1" ht="49.95" customHeight="1" x14ac:dyDescent="0.3">
      <c r="A23" s="3" t="s">
        <v>21</v>
      </c>
    </row>
    <row r="24" spans="1:1" ht="75" x14ac:dyDescent="0.25">
      <c r="A24" s="2" t="s">
        <v>22</v>
      </c>
    </row>
    <row r="25" spans="1:1" ht="60" x14ac:dyDescent="0.25">
      <c r="A25" s="2" t="s">
        <v>23</v>
      </c>
    </row>
    <row r="26" spans="1:1" x14ac:dyDescent="0.25">
      <c r="A26" s="4" t="s">
        <v>24</v>
      </c>
    </row>
    <row r="27" spans="1:1" ht="30" x14ac:dyDescent="0.25">
      <c r="A27" s="2" t="s">
        <v>25</v>
      </c>
    </row>
    <row r="28" spans="1:1" x14ac:dyDescent="0.25">
      <c r="A28" s="2" t="s">
        <v>26</v>
      </c>
    </row>
    <row r="29" spans="1:1" ht="30" x14ac:dyDescent="0.25">
      <c r="A29" s="4" t="s">
        <v>27</v>
      </c>
    </row>
    <row r="30" spans="1:1" ht="49.95" customHeight="1" x14ac:dyDescent="0.3">
      <c r="A30" s="3" t="s">
        <v>28</v>
      </c>
    </row>
    <row r="31" spans="1:1" ht="60" x14ac:dyDescent="0.25">
      <c r="A31" s="2" t="s">
        <v>29</v>
      </c>
    </row>
    <row r="32" spans="1:1" x14ac:dyDescent="0.25">
      <c r="A32" s="4" t="s">
        <v>30</v>
      </c>
    </row>
    <row r="33" spans="1:1" ht="45" x14ac:dyDescent="0.25">
      <c r="A33" s="2" t="s">
        <v>31</v>
      </c>
    </row>
    <row r="34" spans="1:1" x14ac:dyDescent="0.25">
      <c r="A34" s="2" t="s">
        <v>32</v>
      </c>
    </row>
    <row r="35" spans="1:1" x14ac:dyDescent="0.25">
      <c r="A35" s="4" t="s">
        <v>33</v>
      </c>
    </row>
    <row r="36" spans="1:1" x14ac:dyDescent="0.25">
      <c r="A36" s="2" t="s">
        <v>34</v>
      </c>
    </row>
    <row r="37" spans="1:1" ht="49.95" customHeight="1" x14ac:dyDescent="0.3">
      <c r="A37" s="3" t="s">
        <v>35</v>
      </c>
    </row>
    <row r="38" spans="1:1" x14ac:dyDescent="0.25">
      <c r="A38" s="2" t="s">
        <v>36</v>
      </c>
    </row>
    <row r="39" spans="1:1" ht="30" x14ac:dyDescent="0.25">
      <c r="A39" s="2" t="s">
        <v>37</v>
      </c>
    </row>
    <row r="40" spans="1:1" ht="30" x14ac:dyDescent="0.25">
      <c r="A40" s="2" t="s">
        <v>38</v>
      </c>
    </row>
    <row r="41" spans="1:1" x14ac:dyDescent="0.25">
      <c r="A41" s="4" t="s">
        <v>39</v>
      </c>
    </row>
    <row r="42" spans="1:1" ht="30" x14ac:dyDescent="0.25">
      <c r="A42" s="2" t="s">
        <v>40</v>
      </c>
    </row>
    <row r="43" spans="1:1" x14ac:dyDescent="0.25">
      <c r="A43" s="4" t="s">
        <v>41</v>
      </c>
    </row>
    <row r="44" spans="1:1" ht="30" x14ac:dyDescent="0.25">
      <c r="A44" s="2" t="s">
        <v>42</v>
      </c>
    </row>
    <row r="45" spans="1:1" x14ac:dyDescent="0.25">
      <c r="A45" s="4" t="s">
        <v>43</v>
      </c>
    </row>
    <row r="46" spans="1:1" x14ac:dyDescent="0.25">
      <c r="A46" s="2"/>
    </row>
    <row r="47" spans="1:1" x14ac:dyDescent="0.25">
      <c r="A47" s="2"/>
    </row>
  </sheetData>
  <hyperlinks>
    <hyperlink ref="A18" r:id="rId1" xr:uid="{00000000-0004-0000-0000-000000000000}"/>
    <hyperlink ref="A22" r:id="rId2" location="cause-of-death-coding" xr:uid="{00000000-0004-0000-0000-000001000000}"/>
    <hyperlink ref="A26" r:id="rId3" xr:uid="{00000000-0004-0000-0000-000002000000}"/>
    <hyperlink ref="A29" r:id="rId4" xr:uid="{00000000-0004-0000-0000-000003000000}"/>
    <hyperlink ref="A32" r:id="rId5" xr:uid="{00000000-0004-0000-0000-000004000000}"/>
    <hyperlink ref="A35" r:id="rId6" xr:uid="{00000000-0004-0000-0000-000005000000}"/>
    <hyperlink ref="A41" r:id="rId7" xr:uid="{00000000-0004-0000-0000-000006000000}"/>
    <hyperlink ref="A43" r:id="rId8" xr:uid="{00000000-0004-0000-0000-000007000000}"/>
    <hyperlink ref="A45" r:id="rId9" xr:uid="{00000000-0004-0000-0000-00000800000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1"/>
  <sheetViews>
    <sheetView showGridLines="0" workbookViewId="0"/>
  </sheetViews>
  <sheetFormatPr defaultColWidth="10.90625" defaultRowHeight="15" x14ac:dyDescent="0.25"/>
  <cols>
    <col min="1" max="1" width="22.81640625" customWidth="1"/>
    <col min="2" max="2" width="65.81640625" customWidth="1"/>
  </cols>
  <sheetData>
    <row r="1" spans="1:2" ht="17.399999999999999" x14ac:dyDescent="0.3">
      <c r="A1" s="1" t="s">
        <v>44</v>
      </c>
    </row>
    <row r="2" spans="1:2" x14ac:dyDescent="0.25">
      <c r="A2" s="9" t="s">
        <v>45</v>
      </c>
    </row>
    <row r="3" spans="1:2" ht="15.6" x14ac:dyDescent="0.25">
      <c r="A3" s="11" t="s">
        <v>46</v>
      </c>
      <c r="B3" s="11" t="s">
        <v>47</v>
      </c>
    </row>
    <row r="4" spans="1:2" ht="49.95" customHeight="1" x14ac:dyDescent="0.25">
      <c r="A4" s="5" t="str">
        <f>HYPERLINK("#'Cover sheet'!A1", "Cover sheet")</f>
        <v>Cover sheet</v>
      </c>
      <c r="B4" s="6" t="s">
        <v>48</v>
      </c>
    </row>
    <row r="5" spans="1:2" ht="49.95" customHeight="1" x14ac:dyDescent="0.25">
      <c r="A5" s="7" t="str">
        <f>HYPERLINK("#'Notes'!A1", "Notes")</f>
        <v>Notes</v>
      </c>
      <c r="B5" s="8" t="s">
        <v>49</v>
      </c>
    </row>
    <row r="6" spans="1:2" ht="49.95" customHeight="1" x14ac:dyDescent="0.25">
      <c r="A6" s="7" t="str">
        <f>HYPERLINK("#'1'!A1", "1")</f>
        <v>1</v>
      </c>
      <c r="B6" s="8" t="s">
        <v>50</v>
      </c>
    </row>
    <row r="7" spans="1:2" ht="49.95" customHeight="1" x14ac:dyDescent="0.25">
      <c r="A7" s="7" t="str">
        <f>HYPERLINK("#'2'!A1", "2")</f>
        <v>2</v>
      </c>
      <c r="B7" s="8" t="s">
        <v>51</v>
      </c>
    </row>
    <row r="8" spans="1:2" ht="49.95" customHeight="1" x14ac:dyDescent="0.25">
      <c r="A8" s="7" t="str">
        <f>HYPERLINK("#'3'!A1", "3")</f>
        <v>3</v>
      </c>
      <c r="B8" s="8" t="s">
        <v>52</v>
      </c>
    </row>
    <row r="9" spans="1:2" ht="49.95" customHeight="1" x14ac:dyDescent="0.25">
      <c r="A9" s="7" t="str">
        <f>HYPERLINK("#'4'!A1", "4")</f>
        <v>4</v>
      </c>
      <c r="B9" s="8" t="s">
        <v>53</v>
      </c>
    </row>
    <row r="10" spans="1:2" ht="49.95" customHeight="1" x14ac:dyDescent="0.25">
      <c r="A10" s="7" t="str">
        <f>HYPERLINK("#'5'!A1", "5")</f>
        <v>5</v>
      </c>
      <c r="B10" s="8" t="s">
        <v>54</v>
      </c>
    </row>
    <row r="11" spans="1:2" ht="49.95" customHeight="1" x14ac:dyDescent="0.25">
      <c r="A11" s="7" t="str">
        <f>HYPERLINK("#'6'!A1", "6")</f>
        <v>6</v>
      </c>
      <c r="B11" s="8" t="s">
        <v>55</v>
      </c>
    </row>
    <row r="12" spans="1:2" ht="49.95" customHeight="1" x14ac:dyDescent="0.25">
      <c r="A12" s="7" t="str">
        <f>HYPERLINK("#'7'!A1", "7")</f>
        <v>7</v>
      </c>
      <c r="B12" s="8" t="s">
        <v>56</v>
      </c>
    </row>
    <row r="13" spans="1:2" ht="49.95" customHeight="1" x14ac:dyDescent="0.25">
      <c r="A13" s="7" t="str">
        <f>HYPERLINK("#'8'!A1", "8")</f>
        <v>8</v>
      </c>
      <c r="B13" s="8" t="s">
        <v>57</v>
      </c>
    </row>
    <row r="14" spans="1:2" ht="49.95" customHeight="1" x14ac:dyDescent="0.25">
      <c r="A14" s="7" t="str">
        <f>HYPERLINK("#'9'!A1", "9")</f>
        <v>9</v>
      </c>
      <c r="B14" s="8" t="s">
        <v>58</v>
      </c>
    </row>
    <row r="15" spans="1:2" ht="49.95" customHeight="1" x14ac:dyDescent="0.25">
      <c r="A15" s="7" t="str">
        <f>HYPERLINK("#'10'!A1", "10")</f>
        <v>10</v>
      </c>
      <c r="B15" s="8" t="s">
        <v>59</v>
      </c>
    </row>
    <row r="16" spans="1:2" ht="49.95" customHeight="1" x14ac:dyDescent="0.25">
      <c r="A16" s="7" t="str">
        <f>HYPERLINK("#'11'!A1", "11")</f>
        <v>11</v>
      </c>
      <c r="B16" s="8" t="s">
        <v>60</v>
      </c>
    </row>
    <row r="17" spans="1:2" ht="49.95" customHeight="1" x14ac:dyDescent="0.25">
      <c r="A17" s="7" t="str">
        <f>HYPERLINK("#'12a'!A1", "12a")</f>
        <v>12a</v>
      </c>
      <c r="B17" s="8" t="s">
        <v>61</v>
      </c>
    </row>
    <row r="18" spans="1:2" ht="49.95" customHeight="1" x14ac:dyDescent="0.25">
      <c r="A18" s="7" t="str">
        <f>HYPERLINK("#'12b'!A1", "12b")</f>
        <v>12b</v>
      </c>
      <c r="B18" s="8" t="s">
        <v>62</v>
      </c>
    </row>
    <row r="19" spans="1:2" ht="49.95" customHeight="1" x14ac:dyDescent="0.25">
      <c r="A19" s="7" t="str">
        <f>HYPERLINK("#'13'!A1", "13")</f>
        <v>13</v>
      </c>
      <c r="B19" s="8" t="s">
        <v>63</v>
      </c>
    </row>
    <row r="20" spans="1:2" ht="49.95" customHeight="1" x14ac:dyDescent="0.25">
      <c r="A20" s="7" t="str">
        <f>HYPERLINK("#'14'!A1", "14")</f>
        <v>14</v>
      </c>
      <c r="B20" s="8" t="s">
        <v>64</v>
      </c>
    </row>
    <row r="21" spans="1:2" x14ac:dyDescent="0.25">
      <c r="A21" s="10"/>
      <c r="B21" s="10"/>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9"/>
  <sheetViews>
    <sheetView showGridLines="0" workbookViewId="0"/>
  </sheetViews>
  <sheetFormatPr defaultColWidth="10.90625" defaultRowHeight="15" x14ac:dyDescent="0.25"/>
  <cols>
    <col min="1" max="1" width="22.81640625" customWidth="1"/>
    <col min="2" max="2" width="60.81640625" customWidth="1"/>
    <col min="3" max="3" width="30.81640625" customWidth="1"/>
  </cols>
  <sheetData>
    <row r="1" spans="1:3" ht="17.399999999999999" x14ac:dyDescent="0.3">
      <c r="A1" s="1" t="s">
        <v>65</v>
      </c>
    </row>
    <row r="2" spans="1:3" x14ac:dyDescent="0.25">
      <c r="A2" s="9" t="s">
        <v>45</v>
      </c>
    </row>
    <row r="3" spans="1:3" x14ac:dyDescent="0.25">
      <c r="A3" t="s">
        <v>66</v>
      </c>
    </row>
    <row r="4" spans="1:3" x14ac:dyDescent="0.25">
      <c r="A4" t="s">
        <v>67</v>
      </c>
    </row>
    <row r="5" spans="1:3" ht="15.6" x14ac:dyDescent="0.25">
      <c r="A5" s="14" t="s">
        <v>68</v>
      </c>
      <c r="B5" s="12" t="s">
        <v>69</v>
      </c>
      <c r="C5" s="11" t="s">
        <v>70</v>
      </c>
    </row>
    <row r="6" spans="1:3" x14ac:dyDescent="0.25">
      <c r="A6" s="15">
        <v>1</v>
      </c>
      <c r="B6" s="13" t="s">
        <v>71</v>
      </c>
      <c r="C6" s="6"/>
    </row>
    <row r="7" spans="1:3" ht="45" x14ac:dyDescent="0.25">
      <c r="A7" s="16">
        <v>2</v>
      </c>
      <c r="B7" s="2" t="s">
        <v>72</v>
      </c>
      <c r="C7" s="8"/>
    </row>
    <row r="8" spans="1:3" ht="75" x14ac:dyDescent="0.25">
      <c r="A8" s="16">
        <v>3</v>
      </c>
      <c r="B8" s="2" t="s">
        <v>73</v>
      </c>
      <c r="C8" s="17" t="s">
        <v>74</v>
      </c>
    </row>
    <row r="9" spans="1:3" ht="60" x14ac:dyDescent="0.25">
      <c r="A9" s="16">
        <v>4</v>
      </c>
      <c r="B9" s="2" t="s">
        <v>75</v>
      </c>
      <c r="C9" s="17" t="s">
        <v>76</v>
      </c>
    </row>
    <row r="10" spans="1:3" ht="60" x14ac:dyDescent="0.25">
      <c r="A10" s="16">
        <v>5</v>
      </c>
      <c r="B10" s="2" t="s">
        <v>77</v>
      </c>
      <c r="C10" s="17" t="s">
        <v>76</v>
      </c>
    </row>
    <row r="11" spans="1:3" ht="30" x14ac:dyDescent="0.25">
      <c r="A11" s="16">
        <v>6</v>
      </c>
      <c r="B11" s="2" t="s">
        <v>78</v>
      </c>
      <c r="C11" s="8"/>
    </row>
    <row r="12" spans="1:3" ht="30" x14ac:dyDescent="0.25">
      <c r="A12" s="16">
        <v>7</v>
      </c>
      <c r="B12" s="2" t="s">
        <v>79</v>
      </c>
      <c r="C12" s="17" t="s">
        <v>80</v>
      </c>
    </row>
    <row r="13" spans="1:3" ht="45" x14ac:dyDescent="0.25">
      <c r="A13" s="16">
        <v>8</v>
      </c>
      <c r="B13" s="2" t="s">
        <v>81</v>
      </c>
      <c r="C13" s="8"/>
    </row>
    <row r="14" spans="1:3" ht="45" x14ac:dyDescent="0.25">
      <c r="A14" s="16">
        <v>9</v>
      </c>
      <c r="B14" s="2" t="s">
        <v>82</v>
      </c>
      <c r="C14" s="17" t="s">
        <v>83</v>
      </c>
    </row>
    <row r="15" spans="1:3" x14ac:dyDescent="0.25">
      <c r="A15" s="16">
        <v>10</v>
      </c>
      <c r="B15" s="2" t="s">
        <v>84</v>
      </c>
      <c r="C15" s="8"/>
    </row>
    <row r="16" spans="1:3" ht="90" x14ac:dyDescent="0.25">
      <c r="A16" s="16">
        <v>11</v>
      </c>
      <c r="B16" s="2" t="s">
        <v>85</v>
      </c>
      <c r="C16" s="17" t="s">
        <v>86</v>
      </c>
    </row>
    <row r="17" spans="1:3" ht="75" x14ac:dyDescent="0.25">
      <c r="A17" s="16">
        <v>12</v>
      </c>
      <c r="B17" s="2" t="s">
        <v>87</v>
      </c>
      <c r="C17" s="8"/>
    </row>
    <row r="18" spans="1:3" ht="150" x14ac:dyDescent="0.25">
      <c r="A18" s="16">
        <v>13</v>
      </c>
      <c r="B18" s="2" t="s">
        <v>88</v>
      </c>
      <c r="C18" s="8"/>
    </row>
    <row r="19" spans="1:3" ht="30" x14ac:dyDescent="0.25">
      <c r="A19" s="16">
        <v>14</v>
      </c>
      <c r="B19" s="2" t="s">
        <v>89</v>
      </c>
      <c r="C19" s="8"/>
    </row>
    <row r="20" spans="1:3" x14ac:dyDescent="0.25">
      <c r="A20" s="16">
        <v>15</v>
      </c>
      <c r="B20" s="2" t="s">
        <v>90</v>
      </c>
      <c r="C20" s="8"/>
    </row>
    <row r="21" spans="1:3" ht="45" x14ac:dyDescent="0.25">
      <c r="A21" s="16">
        <v>16</v>
      </c>
      <c r="B21" s="2" t="s">
        <v>91</v>
      </c>
      <c r="C21" s="8"/>
    </row>
    <row r="22" spans="1:3" ht="45" x14ac:dyDescent="0.25">
      <c r="A22" s="16">
        <v>17</v>
      </c>
      <c r="B22" s="2" t="s">
        <v>92</v>
      </c>
      <c r="C22" s="17" t="s">
        <v>93</v>
      </c>
    </row>
    <row r="23" spans="1:3" ht="60" x14ac:dyDescent="0.25">
      <c r="A23" s="16">
        <v>18</v>
      </c>
      <c r="B23" s="2" t="s">
        <v>94</v>
      </c>
      <c r="C23" s="17" t="s">
        <v>95</v>
      </c>
    </row>
    <row r="24" spans="1:3" ht="30" x14ac:dyDescent="0.25">
      <c r="A24" s="16">
        <v>19</v>
      </c>
      <c r="B24" s="2" t="s">
        <v>96</v>
      </c>
      <c r="C24" s="8"/>
    </row>
    <row r="25" spans="1:3" ht="45" x14ac:dyDescent="0.25">
      <c r="A25" s="16">
        <v>20</v>
      </c>
      <c r="B25" s="2" t="s">
        <v>97</v>
      </c>
      <c r="C25" s="8"/>
    </row>
    <row r="26" spans="1:3" ht="120" x14ac:dyDescent="0.25">
      <c r="A26" s="16">
        <v>21</v>
      </c>
      <c r="B26" s="2" t="s">
        <v>98</v>
      </c>
      <c r="C26" s="8"/>
    </row>
    <row r="27" spans="1:3" ht="60" x14ac:dyDescent="0.25">
      <c r="A27" s="16">
        <v>22</v>
      </c>
      <c r="B27" s="2" t="s">
        <v>99</v>
      </c>
      <c r="C27" s="8"/>
    </row>
    <row r="28" spans="1:3" ht="30" x14ac:dyDescent="0.25">
      <c r="A28" s="16">
        <v>23</v>
      </c>
      <c r="B28" s="2" t="s">
        <v>100</v>
      </c>
      <c r="C28" s="8"/>
    </row>
    <row r="29" spans="1:3" ht="255" x14ac:dyDescent="0.25">
      <c r="A29" s="16">
        <v>24</v>
      </c>
      <c r="B29" s="2" t="s">
        <v>101</v>
      </c>
      <c r="C29" s="8"/>
    </row>
    <row r="30" spans="1:3" ht="60" x14ac:dyDescent="0.25">
      <c r="A30" s="16">
        <v>25</v>
      </c>
      <c r="B30" s="2" t="s">
        <v>102</v>
      </c>
      <c r="C30" s="17" t="s">
        <v>103</v>
      </c>
    </row>
    <row r="31" spans="1:3" ht="30" x14ac:dyDescent="0.25">
      <c r="A31" s="16">
        <v>26</v>
      </c>
      <c r="B31" s="2" t="s">
        <v>104</v>
      </c>
      <c r="C31" s="8"/>
    </row>
    <row r="32" spans="1:3" ht="45" x14ac:dyDescent="0.25">
      <c r="A32" s="16">
        <v>27</v>
      </c>
      <c r="B32" s="2" t="s">
        <v>105</v>
      </c>
      <c r="C32" s="8"/>
    </row>
    <row r="33" spans="1:3" ht="45" x14ac:dyDescent="0.25">
      <c r="A33" s="16">
        <v>28</v>
      </c>
      <c r="B33" s="2" t="s">
        <v>106</v>
      </c>
      <c r="C33" s="8"/>
    </row>
    <row r="34" spans="1:3" ht="60" x14ac:dyDescent="0.25">
      <c r="A34" s="16">
        <v>29</v>
      </c>
      <c r="B34" s="2" t="s">
        <v>107</v>
      </c>
      <c r="C34" s="8"/>
    </row>
    <row r="35" spans="1:3" ht="60" x14ac:dyDescent="0.25">
      <c r="A35" s="16">
        <v>30</v>
      </c>
      <c r="B35" s="2" t="s">
        <v>108</v>
      </c>
      <c r="C35" s="8"/>
    </row>
    <row r="36" spans="1:3" ht="45" x14ac:dyDescent="0.25">
      <c r="A36" s="16">
        <v>31</v>
      </c>
      <c r="B36" s="2" t="s">
        <v>109</v>
      </c>
      <c r="C36" s="8"/>
    </row>
    <row r="37" spans="1:3" ht="60" x14ac:dyDescent="0.25">
      <c r="A37" s="16">
        <v>32</v>
      </c>
      <c r="B37" s="2" t="s">
        <v>110</v>
      </c>
      <c r="C37" s="8"/>
    </row>
    <row r="38" spans="1:3" ht="30" x14ac:dyDescent="0.25">
      <c r="A38" s="37">
        <v>33</v>
      </c>
      <c r="B38" s="38" t="s">
        <v>258</v>
      </c>
      <c r="C38" s="39"/>
    </row>
    <row r="39" spans="1:3" x14ac:dyDescent="0.25">
      <c r="A39" s="10"/>
      <c r="B39" s="10"/>
      <c r="C39" s="10"/>
    </row>
  </sheetData>
  <hyperlinks>
    <hyperlink ref="C8" r:id="rId1" location="measuring-the-data" xr:uid="{00000000-0004-0000-0200-000000000000}"/>
    <hyperlink ref="C9" r:id="rId2" xr:uid="{00000000-0004-0000-0200-000001000000}"/>
    <hyperlink ref="C10" r:id="rId3" xr:uid="{00000000-0004-0000-0200-000002000000}"/>
    <hyperlink ref="C12" r:id="rId4" xr:uid="{00000000-0004-0000-0200-000003000000}"/>
    <hyperlink ref="C14" r:id="rId5" location="cause-of-death-coding" xr:uid="{00000000-0004-0000-0200-000004000000}"/>
    <hyperlink ref="C16" r:id="rId6" xr:uid="{00000000-0004-0000-0200-000005000000}"/>
    <hyperlink ref="C22" r:id="rId7" xr:uid="{00000000-0004-0000-0200-000006000000}"/>
    <hyperlink ref="C23" r:id="rId8" xr:uid="{00000000-0004-0000-0200-000007000000}"/>
    <hyperlink ref="C30" r:id="rId9" xr:uid="{00000000-0004-0000-0200-000008000000}"/>
  </hyperlinks>
  <pageMargins left="0.7" right="0.7" top="0.75" bottom="0.75" header="0.3" footer="0.3"/>
  <pageSetup paperSize="9" orientation="portrait" horizontalDpi="300" verticalDpi="300"/>
  <tableParts count="1">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2"/>
  <sheetViews>
    <sheetView showGridLines="0" workbookViewId="0"/>
  </sheetViews>
  <sheetFormatPr defaultColWidth="10.90625" defaultRowHeight="15" x14ac:dyDescent="0.25"/>
  <cols>
    <col min="1" max="1" width="14.1796875" customWidth="1"/>
    <col min="2" max="23" width="13.1796875" customWidth="1"/>
  </cols>
  <sheetData>
    <row r="1" spans="1:11" ht="17.399999999999999" x14ac:dyDescent="0.3">
      <c r="A1" s="1" t="s">
        <v>111</v>
      </c>
    </row>
    <row r="2" spans="1:11" ht="17.399999999999999" x14ac:dyDescent="0.3">
      <c r="A2" s="1" t="s">
        <v>112</v>
      </c>
    </row>
    <row r="3" spans="1:11" x14ac:dyDescent="0.25">
      <c r="A3" t="s">
        <v>113</v>
      </c>
    </row>
    <row r="4" spans="1:11" x14ac:dyDescent="0.25">
      <c r="A4" t="s">
        <v>114</v>
      </c>
    </row>
    <row r="5" spans="1:11" x14ac:dyDescent="0.25">
      <c r="A5" t="s">
        <v>115</v>
      </c>
    </row>
    <row r="6" spans="1:11" ht="93.6" x14ac:dyDescent="0.25">
      <c r="A6" s="12" t="s">
        <v>116</v>
      </c>
      <c r="B6" s="11" t="s">
        <v>117</v>
      </c>
      <c r="C6" s="21" t="s">
        <v>118</v>
      </c>
      <c r="D6" s="21" t="s">
        <v>119</v>
      </c>
      <c r="E6" s="21" t="s">
        <v>120</v>
      </c>
      <c r="F6" s="21" t="s">
        <v>121</v>
      </c>
      <c r="G6" s="21" t="s">
        <v>122</v>
      </c>
      <c r="H6" s="21" t="s">
        <v>123</v>
      </c>
      <c r="I6" s="21" t="s">
        <v>124</v>
      </c>
      <c r="J6" s="21" t="s">
        <v>125</v>
      </c>
      <c r="K6" s="24" t="s">
        <v>126</v>
      </c>
    </row>
    <row r="7" spans="1:11" x14ac:dyDescent="0.25">
      <c r="A7" s="19">
        <v>1</v>
      </c>
      <c r="B7" s="25">
        <v>44932</v>
      </c>
      <c r="C7" s="22">
        <v>14983</v>
      </c>
      <c r="D7" s="22">
        <v>12257</v>
      </c>
      <c r="E7" s="22">
        <v>13136</v>
      </c>
      <c r="F7" s="22">
        <v>13976</v>
      </c>
      <c r="G7" s="22">
        <v>11466</v>
      </c>
      <c r="H7" s="22">
        <v>12270</v>
      </c>
      <c r="I7" s="22">
        <v>979</v>
      </c>
      <c r="J7" s="22">
        <v>776</v>
      </c>
      <c r="K7" s="26">
        <v>844</v>
      </c>
    </row>
    <row r="8" spans="1:11" x14ac:dyDescent="0.25">
      <c r="A8" s="20">
        <v>2</v>
      </c>
      <c r="B8" s="27">
        <v>44939</v>
      </c>
      <c r="C8" s="23">
        <v>17381</v>
      </c>
      <c r="D8" s="23">
        <v>13309</v>
      </c>
      <c r="E8" s="23">
        <v>14544</v>
      </c>
      <c r="F8" s="23">
        <v>16158</v>
      </c>
      <c r="G8" s="23">
        <v>12401</v>
      </c>
      <c r="H8" s="23">
        <v>13597</v>
      </c>
      <c r="I8" s="23">
        <v>1183</v>
      </c>
      <c r="J8" s="23">
        <v>885</v>
      </c>
      <c r="K8" s="28">
        <v>919</v>
      </c>
    </row>
    <row r="9" spans="1:11" x14ac:dyDescent="0.25">
      <c r="A9" s="20">
        <v>3</v>
      </c>
      <c r="B9" s="27">
        <v>44946</v>
      </c>
      <c r="C9" s="23">
        <v>15804</v>
      </c>
      <c r="D9" s="23">
        <v>12777</v>
      </c>
      <c r="E9" s="23">
        <v>14236</v>
      </c>
      <c r="F9" s="23">
        <v>14798</v>
      </c>
      <c r="G9" s="23">
        <v>12012</v>
      </c>
      <c r="H9" s="23">
        <v>13365</v>
      </c>
      <c r="I9" s="23">
        <v>974</v>
      </c>
      <c r="J9" s="23">
        <v>744</v>
      </c>
      <c r="K9" s="28">
        <v>845</v>
      </c>
    </row>
    <row r="10" spans="1:11" x14ac:dyDescent="0.25">
      <c r="A10" s="20">
        <v>4</v>
      </c>
      <c r="B10" s="27">
        <v>44953</v>
      </c>
      <c r="C10" s="23">
        <v>14137</v>
      </c>
      <c r="D10" s="23">
        <v>12396</v>
      </c>
      <c r="E10" s="23">
        <v>13878</v>
      </c>
      <c r="F10" s="23">
        <v>13290</v>
      </c>
      <c r="G10" s="23">
        <v>11649</v>
      </c>
      <c r="H10" s="23">
        <v>13022</v>
      </c>
      <c r="I10" s="23">
        <v>816</v>
      </c>
      <c r="J10" s="23">
        <v>729</v>
      </c>
      <c r="K10" s="28">
        <v>834</v>
      </c>
    </row>
    <row r="11" spans="1:11" x14ac:dyDescent="0.25">
      <c r="A11" s="20">
        <v>5</v>
      </c>
      <c r="B11" s="27">
        <v>44960</v>
      </c>
      <c r="C11" s="23">
        <v>13412</v>
      </c>
      <c r="D11" s="23">
        <v>11860</v>
      </c>
      <c r="E11" s="23">
        <v>13226</v>
      </c>
      <c r="F11" s="23">
        <v>12580</v>
      </c>
      <c r="G11" s="23">
        <v>11136</v>
      </c>
      <c r="H11" s="23">
        <v>12420</v>
      </c>
      <c r="I11" s="23">
        <v>807</v>
      </c>
      <c r="J11" s="23">
        <v>705</v>
      </c>
      <c r="K11" s="28">
        <v>783</v>
      </c>
    </row>
    <row r="12" spans="1:11" x14ac:dyDescent="0.25">
      <c r="A12" s="20">
        <v>6</v>
      </c>
      <c r="B12" s="27">
        <v>44967</v>
      </c>
      <c r="C12" s="23">
        <v>12672</v>
      </c>
      <c r="D12" s="23">
        <v>11559</v>
      </c>
      <c r="E12" s="23">
        <v>12666</v>
      </c>
      <c r="F12" s="23">
        <v>11895</v>
      </c>
      <c r="G12" s="23">
        <v>10877</v>
      </c>
      <c r="H12" s="23">
        <v>11914</v>
      </c>
      <c r="I12" s="23">
        <v>755</v>
      </c>
      <c r="J12" s="23">
        <v>671</v>
      </c>
      <c r="K12" s="28">
        <v>731</v>
      </c>
    </row>
    <row r="13" spans="1:11" x14ac:dyDescent="0.25">
      <c r="A13" s="20">
        <v>7</v>
      </c>
      <c r="B13" s="27">
        <v>44974</v>
      </c>
      <c r="C13" s="23">
        <v>12031</v>
      </c>
      <c r="D13" s="23">
        <v>11271</v>
      </c>
      <c r="E13" s="23">
        <v>12158</v>
      </c>
      <c r="F13" s="23">
        <v>11281</v>
      </c>
      <c r="G13" s="23">
        <v>10608</v>
      </c>
      <c r="H13" s="23">
        <v>11403</v>
      </c>
      <c r="I13" s="23">
        <v>720</v>
      </c>
      <c r="J13" s="23">
        <v>648</v>
      </c>
      <c r="K13" s="28">
        <v>736</v>
      </c>
    </row>
    <row r="14" spans="1:11" x14ac:dyDescent="0.25">
      <c r="A14" s="20">
        <v>8</v>
      </c>
      <c r="B14" s="27">
        <v>44981</v>
      </c>
      <c r="C14" s="23">
        <v>11952</v>
      </c>
      <c r="D14" s="23">
        <v>11150</v>
      </c>
      <c r="E14" s="23">
        <v>11803</v>
      </c>
      <c r="F14" s="23">
        <v>11222</v>
      </c>
      <c r="G14" s="23">
        <v>10459</v>
      </c>
      <c r="H14" s="23">
        <v>11060</v>
      </c>
      <c r="I14" s="23">
        <v>707</v>
      </c>
      <c r="J14" s="23">
        <v>677</v>
      </c>
      <c r="K14" s="28">
        <v>725</v>
      </c>
    </row>
    <row r="15" spans="1:11" x14ac:dyDescent="0.25">
      <c r="A15" s="20">
        <v>9</v>
      </c>
      <c r="B15" s="27">
        <v>44988</v>
      </c>
      <c r="C15" s="23">
        <v>12049</v>
      </c>
      <c r="D15" s="23">
        <v>11228</v>
      </c>
      <c r="E15" s="23">
        <v>11194</v>
      </c>
      <c r="F15" s="23">
        <v>11286</v>
      </c>
      <c r="G15" s="23">
        <v>10464</v>
      </c>
      <c r="H15" s="23">
        <v>10480</v>
      </c>
      <c r="I15" s="23">
        <v>740</v>
      </c>
      <c r="J15" s="23">
        <v>752</v>
      </c>
      <c r="K15" s="28">
        <v>696</v>
      </c>
    </row>
    <row r="16" spans="1:11" x14ac:dyDescent="0.25">
      <c r="A16" s="20">
        <v>10</v>
      </c>
      <c r="B16" s="27">
        <v>44995</v>
      </c>
      <c r="C16" s="23">
        <v>11410</v>
      </c>
      <c r="D16" s="23">
        <v>11229</v>
      </c>
      <c r="E16" s="23">
        <v>11441</v>
      </c>
      <c r="F16" s="23">
        <v>10735</v>
      </c>
      <c r="G16" s="23">
        <v>10484</v>
      </c>
      <c r="H16" s="23">
        <v>10708</v>
      </c>
      <c r="I16" s="23">
        <v>654</v>
      </c>
      <c r="J16" s="23">
        <v>720</v>
      </c>
      <c r="K16" s="28">
        <v>712</v>
      </c>
    </row>
    <row r="17" spans="1:11" x14ac:dyDescent="0.25">
      <c r="A17" s="20">
        <v>11</v>
      </c>
      <c r="B17" s="27">
        <v>45002</v>
      </c>
      <c r="C17" s="23">
        <v>12133</v>
      </c>
      <c r="D17" s="23">
        <v>10928</v>
      </c>
      <c r="E17" s="23">
        <v>11059</v>
      </c>
      <c r="F17" s="23">
        <v>11315</v>
      </c>
      <c r="G17" s="23">
        <v>10246</v>
      </c>
      <c r="H17" s="23">
        <v>10332</v>
      </c>
      <c r="I17" s="23">
        <v>795</v>
      </c>
      <c r="J17" s="23">
        <v>669</v>
      </c>
      <c r="K17" s="28">
        <v>706</v>
      </c>
    </row>
    <row r="18" spans="1:11" x14ac:dyDescent="0.25">
      <c r="A18" s="20">
        <v>12</v>
      </c>
      <c r="B18" s="27">
        <v>45009</v>
      </c>
      <c r="C18" s="23">
        <v>12052</v>
      </c>
      <c r="D18" s="23">
        <v>10747</v>
      </c>
      <c r="E18" s="23">
        <v>10691</v>
      </c>
      <c r="F18" s="23">
        <v>11256</v>
      </c>
      <c r="G18" s="23">
        <v>10053</v>
      </c>
      <c r="H18" s="23">
        <v>9992</v>
      </c>
      <c r="I18" s="23">
        <v>778</v>
      </c>
      <c r="J18" s="23">
        <v>676</v>
      </c>
      <c r="K18" s="28">
        <v>675</v>
      </c>
    </row>
    <row r="19" spans="1:11" x14ac:dyDescent="0.25">
      <c r="A19" s="20">
        <v>13</v>
      </c>
      <c r="B19" s="27">
        <v>45016</v>
      </c>
      <c r="C19" s="23">
        <v>11584</v>
      </c>
      <c r="D19" s="23">
        <v>9838</v>
      </c>
      <c r="E19" s="23">
        <v>9580</v>
      </c>
      <c r="F19" s="23">
        <v>10856</v>
      </c>
      <c r="G19" s="23">
        <v>9126</v>
      </c>
      <c r="H19" s="23">
        <v>8934</v>
      </c>
      <c r="I19" s="23">
        <v>708</v>
      </c>
      <c r="J19" s="23">
        <v>690</v>
      </c>
      <c r="K19" s="28">
        <v>625</v>
      </c>
    </row>
    <row r="20" spans="1:11" x14ac:dyDescent="0.25">
      <c r="A20" s="20">
        <v>14</v>
      </c>
      <c r="B20" s="27">
        <v>45023</v>
      </c>
      <c r="C20" s="23">
        <v>10089</v>
      </c>
      <c r="D20" s="23">
        <v>10687</v>
      </c>
      <c r="E20" s="23">
        <v>10130</v>
      </c>
      <c r="F20" s="23">
        <v>9455</v>
      </c>
      <c r="G20" s="23">
        <v>9988</v>
      </c>
      <c r="H20" s="23">
        <v>9455</v>
      </c>
      <c r="I20" s="23">
        <v>616</v>
      </c>
      <c r="J20" s="23">
        <v>682</v>
      </c>
      <c r="K20" s="28">
        <v>655</v>
      </c>
    </row>
    <row r="21" spans="1:11" x14ac:dyDescent="0.25">
      <c r="A21" s="20">
        <v>15</v>
      </c>
      <c r="B21" s="27">
        <v>45030</v>
      </c>
      <c r="C21" s="23">
        <v>9978</v>
      </c>
      <c r="D21" s="23">
        <v>9924</v>
      </c>
      <c r="E21" s="23">
        <v>10290</v>
      </c>
      <c r="F21" s="23">
        <v>9376</v>
      </c>
      <c r="G21" s="23">
        <v>9325</v>
      </c>
      <c r="H21" s="23">
        <v>9633</v>
      </c>
      <c r="I21" s="23">
        <v>578</v>
      </c>
      <c r="J21" s="23">
        <v>579</v>
      </c>
      <c r="K21" s="28">
        <v>637</v>
      </c>
    </row>
    <row r="22" spans="1:11" x14ac:dyDescent="0.25">
      <c r="A22" s="20">
        <v>16</v>
      </c>
      <c r="B22" s="27">
        <v>45037</v>
      </c>
      <c r="C22" s="23">
        <v>12420</v>
      </c>
      <c r="D22" s="23">
        <v>10680</v>
      </c>
      <c r="E22" s="23">
        <v>10108</v>
      </c>
      <c r="F22" s="23">
        <v>11574</v>
      </c>
      <c r="G22" s="23">
        <v>9992</v>
      </c>
      <c r="H22" s="23">
        <v>9446</v>
      </c>
      <c r="I22" s="23">
        <v>821</v>
      </c>
      <c r="J22" s="23">
        <v>669</v>
      </c>
      <c r="K22" s="28">
        <v>644</v>
      </c>
    </row>
    <row r="23" spans="1:11" x14ac:dyDescent="0.25">
      <c r="A23" s="20">
        <v>17</v>
      </c>
      <c r="B23" s="27">
        <v>45044</v>
      </c>
      <c r="C23" s="23">
        <v>12152</v>
      </c>
      <c r="D23" s="23">
        <v>12443</v>
      </c>
      <c r="E23" s="23">
        <v>10683</v>
      </c>
      <c r="F23" s="23">
        <v>11397</v>
      </c>
      <c r="G23" s="23">
        <v>11606</v>
      </c>
      <c r="H23" s="23">
        <v>9980</v>
      </c>
      <c r="I23" s="23">
        <v>732</v>
      </c>
      <c r="J23" s="23">
        <v>819</v>
      </c>
      <c r="K23" s="28">
        <v>685</v>
      </c>
    </row>
    <row r="24" spans="1:11" x14ac:dyDescent="0.25">
      <c r="A24" s="20">
        <v>18</v>
      </c>
      <c r="B24" s="27">
        <v>45051</v>
      </c>
      <c r="C24" s="23">
        <v>10143</v>
      </c>
      <c r="D24" s="23">
        <v>9946</v>
      </c>
      <c r="E24" s="23">
        <v>9674</v>
      </c>
      <c r="F24" s="23">
        <v>9483</v>
      </c>
      <c r="G24" s="23">
        <v>9341</v>
      </c>
      <c r="H24" s="23">
        <v>9042</v>
      </c>
      <c r="I24" s="23">
        <v>647</v>
      </c>
      <c r="J24" s="23">
        <v>591</v>
      </c>
      <c r="K24" s="28">
        <v>614</v>
      </c>
    </row>
    <row r="25" spans="1:11" x14ac:dyDescent="0.25">
      <c r="A25" s="20">
        <v>19</v>
      </c>
      <c r="B25" s="27">
        <v>45058</v>
      </c>
      <c r="C25" s="23">
        <v>10367</v>
      </c>
      <c r="D25" s="23">
        <v>12041</v>
      </c>
      <c r="E25" s="23">
        <v>10119</v>
      </c>
      <c r="F25" s="23">
        <v>9729</v>
      </c>
      <c r="G25" s="23">
        <v>11289</v>
      </c>
      <c r="H25" s="23">
        <v>9464</v>
      </c>
      <c r="I25" s="23">
        <v>610</v>
      </c>
      <c r="J25" s="23">
        <v>732</v>
      </c>
      <c r="K25" s="28">
        <v>638</v>
      </c>
    </row>
    <row r="26" spans="1:11" x14ac:dyDescent="0.25">
      <c r="A26" s="20">
        <v>20</v>
      </c>
      <c r="B26" s="27">
        <v>45065</v>
      </c>
      <c r="C26" s="23">
        <v>11654</v>
      </c>
      <c r="D26" s="23">
        <v>11518</v>
      </c>
      <c r="E26" s="23">
        <v>10414</v>
      </c>
      <c r="F26" s="23">
        <v>10932</v>
      </c>
      <c r="G26" s="23">
        <v>10778</v>
      </c>
      <c r="H26" s="23">
        <v>9739</v>
      </c>
      <c r="I26" s="23">
        <v>697</v>
      </c>
      <c r="J26" s="23">
        <v>720</v>
      </c>
      <c r="K26" s="28">
        <v>653</v>
      </c>
    </row>
    <row r="27" spans="1:11" x14ac:dyDescent="0.25">
      <c r="A27" s="20">
        <v>21</v>
      </c>
      <c r="B27" s="27">
        <v>45072</v>
      </c>
      <c r="C27" s="23">
        <v>11111</v>
      </c>
      <c r="D27" s="23">
        <v>10863</v>
      </c>
      <c r="E27" s="23">
        <v>10090</v>
      </c>
      <c r="F27" s="23">
        <v>10402</v>
      </c>
      <c r="G27" s="23">
        <v>10148</v>
      </c>
      <c r="H27" s="23">
        <v>9443</v>
      </c>
      <c r="I27" s="23">
        <v>673</v>
      </c>
      <c r="J27" s="23">
        <v>686</v>
      </c>
      <c r="K27" s="28">
        <v>626</v>
      </c>
    </row>
    <row r="28" spans="1:11" x14ac:dyDescent="0.25">
      <c r="A28" s="20">
        <v>22</v>
      </c>
      <c r="B28" s="27">
        <v>45079</v>
      </c>
      <c r="C28" s="23">
        <v>8839</v>
      </c>
      <c r="D28" s="23">
        <v>6828</v>
      </c>
      <c r="E28" s="23">
        <v>7869</v>
      </c>
      <c r="F28" s="23">
        <v>8253</v>
      </c>
      <c r="G28" s="23">
        <v>6375</v>
      </c>
      <c r="H28" s="23">
        <v>7343</v>
      </c>
      <c r="I28" s="23">
        <v>557</v>
      </c>
      <c r="J28" s="23">
        <v>435</v>
      </c>
      <c r="K28" s="28">
        <v>509</v>
      </c>
    </row>
    <row r="29" spans="1:11" x14ac:dyDescent="0.25">
      <c r="A29" s="20">
        <v>23</v>
      </c>
      <c r="B29" s="27">
        <v>45086</v>
      </c>
      <c r="C29" s="23">
        <v>10940</v>
      </c>
      <c r="D29" s="23">
        <v>11743</v>
      </c>
      <c r="E29" s="23">
        <v>10362</v>
      </c>
      <c r="F29" s="23">
        <v>10277</v>
      </c>
      <c r="G29" s="23">
        <v>10962</v>
      </c>
      <c r="H29" s="23">
        <v>9702</v>
      </c>
      <c r="I29" s="23">
        <v>640</v>
      </c>
      <c r="J29" s="23">
        <v>756</v>
      </c>
      <c r="K29" s="28">
        <v>642</v>
      </c>
    </row>
    <row r="30" spans="1:11" x14ac:dyDescent="0.25">
      <c r="A30" s="20">
        <v>24</v>
      </c>
      <c r="B30" s="27">
        <v>45093</v>
      </c>
      <c r="C30" s="23">
        <v>10700</v>
      </c>
      <c r="D30" s="23">
        <v>10844</v>
      </c>
      <c r="E30" s="23">
        <v>9692</v>
      </c>
      <c r="F30" s="23">
        <v>10021</v>
      </c>
      <c r="G30" s="23">
        <v>10162</v>
      </c>
      <c r="H30" s="23">
        <v>9072</v>
      </c>
      <c r="I30" s="23">
        <v>652</v>
      </c>
      <c r="J30" s="23">
        <v>658</v>
      </c>
      <c r="K30" s="28">
        <v>598</v>
      </c>
    </row>
    <row r="31" spans="1:11" x14ac:dyDescent="0.25">
      <c r="A31" s="20">
        <v>25</v>
      </c>
      <c r="B31" s="27">
        <v>45100</v>
      </c>
      <c r="C31" s="23">
        <v>10472</v>
      </c>
      <c r="D31" s="23">
        <v>10836</v>
      </c>
      <c r="E31" s="23">
        <v>9590</v>
      </c>
      <c r="F31" s="23">
        <v>9807</v>
      </c>
      <c r="G31" s="23">
        <v>10143</v>
      </c>
      <c r="H31" s="23">
        <v>8984</v>
      </c>
      <c r="I31" s="23">
        <v>632</v>
      </c>
      <c r="J31" s="23">
        <v>670</v>
      </c>
      <c r="K31" s="28">
        <v>589</v>
      </c>
    </row>
    <row r="32" spans="1:11" x14ac:dyDescent="0.25">
      <c r="A32" s="20">
        <v>26</v>
      </c>
      <c r="B32" s="27">
        <v>45107</v>
      </c>
      <c r="C32" s="23">
        <v>10373</v>
      </c>
      <c r="D32" s="23">
        <v>10356</v>
      </c>
      <c r="E32" s="23">
        <v>9455</v>
      </c>
      <c r="F32" s="23">
        <v>9666</v>
      </c>
      <c r="G32" s="23">
        <v>9733</v>
      </c>
      <c r="H32" s="23">
        <v>8857</v>
      </c>
      <c r="I32" s="23">
        <v>685</v>
      </c>
      <c r="J32" s="23">
        <v>593</v>
      </c>
      <c r="K32" s="28">
        <v>574</v>
      </c>
    </row>
    <row r="33" spans="1:11" x14ac:dyDescent="0.25">
      <c r="A33" s="20">
        <v>27</v>
      </c>
      <c r="B33" s="27">
        <v>45114</v>
      </c>
      <c r="C33" s="23">
        <v>9736</v>
      </c>
      <c r="D33" s="23">
        <v>10233</v>
      </c>
      <c r="E33" s="23">
        <v>9524</v>
      </c>
      <c r="F33" s="23">
        <v>9079</v>
      </c>
      <c r="G33" s="23">
        <v>9602</v>
      </c>
      <c r="H33" s="23">
        <v>8910</v>
      </c>
      <c r="I33" s="23">
        <v>632</v>
      </c>
      <c r="J33" s="23">
        <v>609</v>
      </c>
      <c r="K33" s="28">
        <v>593</v>
      </c>
    </row>
    <row r="34" spans="1:11" x14ac:dyDescent="0.25">
      <c r="A34" s="20">
        <v>28</v>
      </c>
      <c r="B34" s="27">
        <v>45121</v>
      </c>
      <c r="C34" s="23">
        <v>10030</v>
      </c>
      <c r="D34" s="23">
        <v>10517</v>
      </c>
      <c r="E34" s="23">
        <v>9626</v>
      </c>
      <c r="F34" s="23">
        <v>9353</v>
      </c>
      <c r="G34" s="23">
        <v>9867</v>
      </c>
      <c r="H34" s="23">
        <v>9020</v>
      </c>
      <c r="I34" s="23">
        <v>653</v>
      </c>
      <c r="J34" s="23">
        <v>622</v>
      </c>
      <c r="K34" s="28">
        <v>584</v>
      </c>
    </row>
    <row r="35" spans="1:11" x14ac:dyDescent="0.25">
      <c r="A35" s="20">
        <v>29</v>
      </c>
      <c r="B35" s="27">
        <v>45128</v>
      </c>
      <c r="C35" s="23">
        <v>9659</v>
      </c>
      <c r="D35" s="23">
        <v>10977</v>
      </c>
      <c r="E35" s="23">
        <v>9622</v>
      </c>
      <c r="F35" s="23">
        <v>9011</v>
      </c>
      <c r="G35" s="23">
        <v>10316</v>
      </c>
      <c r="H35" s="23">
        <v>9014</v>
      </c>
      <c r="I35" s="23">
        <v>623</v>
      </c>
      <c r="J35" s="23">
        <v>631</v>
      </c>
      <c r="K35" s="28">
        <v>585</v>
      </c>
    </row>
    <row r="36" spans="1:11" x14ac:dyDescent="0.25">
      <c r="A36" s="20">
        <v>30</v>
      </c>
      <c r="B36" s="27">
        <v>45135</v>
      </c>
      <c r="C36" s="23">
        <v>9684</v>
      </c>
      <c r="D36" s="23">
        <v>11013</v>
      </c>
      <c r="E36" s="23">
        <v>9670</v>
      </c>
      <c r="F36" s="23">
        <v>9017</v>
      </c>
      <c r="G36" s="23">
        <v>10320</v>
      </c>
      <c r="H36" s="23">
        <v>9044</v>
      </c>
      <c r="I36" s="23">
        <v>639</v>
      </c>
      <c r="J36" s="23">
        <v>662</v>
      </c>
      <c r="K36" s="28">
        <v>598</v>
      </c>
    </row>
    <row r="37" spans="1:11" x14ac:dyDescent="0.25">
      <c r="A37" s="20">
        <v>31</v>
      </c>
      <c r="B37" s="27">
        <v>45142</v>
      </c>
      <c r="C37" s="23">
        <v>10038</v>
      </c>
      <c r="D37" s="23">
        <v>10698</v>
      </c>
      <c r="E37" s="23">
        <v>9651</v>
      </c>
      <c r="F37" s="23">
        <v>9365</v>
      </c>
      <c r="G37" s="23">
        <v>10020</v>
      </c>
      <c r="H37" s="23">
        <v>9023</v>
      </c>
      <c r="I37" s="23">
        <v>633</v>
      </c>
      <c r="J37" s="23">
        <v>664</v>
      </c>
      <c r="K37" s="28">
        <v>606</v>
      </c>
    </row>
    <row r="38" spans="1:11" x14ac:dyDescent="0.25">
      <c r="A38" s="20">
        <v>32</v>
      </c>
      <c r="B38" s="27">
        <v>45149</v>
      </c>
      <c r="C38" s="23">
        <v>9991</v>
      </c>
      <c r="D38" s="23">
        <v>10370</v>
      </c>
      <c r="E38" s="23">
        <v>9645</v>
      </c>
      <c r="F38" s="23">
        <v>9407</v>
      </c>
      <c r="G38" s="23">
        <v>9686</v>
      </c>
      <c r="H38" s="23">
        <v>9029</v>
      </c>
      <c r="I38" s="23">
        <v>561</v>
      </c>
      <c r="J38" s="23">
        <v>661</v>
      </c>
      <c r="K38" s="28">
        <v>591</v>
      </c>
    </row>
    <row r="39" spans="1:11" x14ac:dyDescent="0.25">
      <c r="A39" s="20">
        <v>33</v>
      </c>
      <c r="B39" s="27">
        <v>45156</v>
      </c>
      <c r="C39" s="23">
        <v>10063</v>
      </c>
      <c r="D39" s="23">
        <v>10982</v>
      </c>
      <c r="E39" s="23">
        <v>9641</v>
      </c>
      <c r="F39" s="23">
        <v>9373</v>
      </c>
      <c r="G39" s="23">
        <v>10286</v>
      </c>
      <c r="H39" s="23">
        <v>9021</v>
      </c>
      <c r="I39" s="23">
        <v>660</v>
      </c>
      <c r="J39" s="23">
        <v>665</v>
      </c>
      <c r="K39" s="28">
        <v>592</v>
      </c>
    </row>
    <row r="40" spans="1:11" x14ac:dyDescent="0.25">
      <c r="A40" s="20">
        <v>34</v>
      </c>
      <c r="B40" s="27">
        <v>45163</v>
      </c>
      <c r="C40" s="23">
        <v>10086</v>
      </c>
      <c r="D40" s="23">
        <v>10941</v>
      </c>
      <c r="E40" s="23">
        <v>9710</v>
      </c>
      <c r="F40" s="23">
        <v>9364</v>
      </c>
      <c r="G40" s="23">
        <v>10246</v>
      </c>
      <c r="H40" s="23">
        <v>9093</v>
      </c>
      <c r="I40" s="23">
        <v>686</v>
      </c>
      <c r="J40" s="23">
        <v>668</v>
      </c>
      <c r="K40" s="28">
        <v>594</v>
      </c>
    </row>
    <row r="41" spans="1:11" x14ac:dyDescent="0.25">
      <c r="A41" s="20">
        <v>35</v>
      </c>
      <c r="B41" s="27">
        <v>45170</v>
      </c>
      <c r="C41" s="23">
        <v>8441</v>
      </c>
      <c r="D41" s="23">
        <v>8865</v>
      </c>
      <c r="E41" s="23">
        <v>8382</v>
      </c>
      <c r="F41" s="23">
        <v>7870</v>
      </c>
      <c r="G41" s="23">
        <v>8293</v>
      </c>
      <c r="H41" s="23">
        <v>7816</v>
      </c>
      <c r="I41" s="23">
        <v>544</v>
      </c>
      <c r="J41" s="23">
        <v>551</v>
      </c>
      <c r="K41" s="28">
        <v>543</v>
      </c>
    </row>
    <row r="42" spans="1:11" x14ac:dyDescent="0.25">
      <c r="A42" s="19"/>
      <c r="B42" s="18"/>
      <c r="C42" s="10"/>
      <c r="D42" s="10"/>
      <c r="E42" s="10"/>
      <c r="F42" s="10"/>
      <c r="G42" s="10"/>
      <c r="H42" s="10"/>
      <c r="I42" s="10"/>
      <c r="J42" s="10"/>
      <c r="K42" s="10"/>
    </row>
  </sheetData>
  <sheetProtection sheet="1" formatCells="0" formatColumns="0"/>
  <pageMargins left="0.7" right="0.7" top="0.75" bottom="0.75" header="0.3" footer="0.3"/>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19"/>
  <sheetViews>
    <sheetView showGridLines="0" workbookViewId="0"/>
  </sheetViews>
  <sheetFormatPr defaultColWidth="10.90625" defaultRowHeight="15" x14ac:dyDescent="0.25"/>
  <cols>
    <col min="1" max="1" width="14.1796875" customWidth="1"/>
    <col min="2" max="2" width="13.1796875" customWidth="1"/>
    <col min="3" max="23" width="8.453125" customWidth="1"/>
  </cols>
  <sheetData>
    <row r="1" spans="1:23" ht="17.399999999999999" x14ac:dyDescent="0.3">
      <c r="A1" s="1" t="s">
        <v>127</v>
      </c>
    </row>
    <row r="2" spans="1:23" ht="17.399999999999999" x14ac:dyDescent="0.3">
      <c r="A2" s="1" t="s">
        <v>128</v>
      </c>
    </row>
    <row r="3" spans="1:23" x14ac:dyDescent="0.25">
      <c r="A3" t="s">
        <v>129</v>
      </c>
    </row>
    <row r="4" spans="1:23" x14ac:dyDescent="0.25">
      <c r="A4" t="s">
        <v>114</v>
      </c>
    </row>
    <row r="5" spans="1:23" x14ac:dyDescent="0.25">
      <c r="A5" t="s">
        <v>115</v>
      </c>
    </row>
    <row r="6" spans="1:23" ht="15.6" x14ac:dyDescent="0.3">
      <c r="A6" s="3" t="s">
        <v>130</v>
      </c>
    </row>
    <row r="7" spans="1:23" ht="15.6" x14ac:dyDescent="0.25">
      <c r="A7" s="12" t="s">
        <v>116</v>
      </c>
      <c r="B7" s="29" t="s">
        <v>131</v>
      </c>
      <c r="C7" s="21" t="s">
        <v>132</v>
      </c>
      <c r="D7" s="21" t="s">
        <v>133</v>
      </c>
      <c r="E7" s="21" t="s">
        <v>134</v>
      </c>
      <c r="F7" s="21" t="s">
        <v>135</v>
      </c>
      <c r="G7" s="21" t="s">
        <v>136</v>
      </c>
      <c r="H7" s="21" t="s">
        <v>137</v>
      </c>
      <c r="I7" s="21" t="s">
        <v>138</v>
      </c>
      <c r="J7" s="21" t="s">
        <v>139</v>
      </c>
      <c r="K7" s="21" t="s">
        <v>140</v>
      </c>
      <c r="L7" s="21" t="s">
        <v>141</v>
      </c>
      <c r="M7" s="21" t="s">
        <v>142</v>
      </c>
      <c r="N7" s="21" t="s">
        <v>143</v>
      </c>
      <c r="O7" s="21" t="s">
        <v>144</v>
      </c>
      <c r="P7" s="21" t="s">
        <v>145</v>
      </c>
      <c r="Q7" s="21" t="s">
        <v>146</v>
      </c>
      <c r="R7" s="21" t="s">
        <v>147</v>
      </c>
      <c r="S7" s="21" t="s">
        <v>148</v>
      </c>
      <c r="T7" s="21" t="s">
        <v>149</v>
      </c>
      <c r="U7" s="21" t="s">
        <v>150</v>
      </c>
      <c r="V7" s="21" t="s">
        <v>151</v>
      </c>
      <c r="W7" s="24" t="s">
        <v>152</v>
      </c>
    </row>
    <row r="8" spans="1:23" x14ac:dyDescent="0.25">
      <c r="A8" s="19">
        <v>1</v>
      </c>
      <c r="B8" s="25">
        <v>44932</v>
      </c>
      <c r="C8" s="22">
        <v>14983</v>
      </c>
      <c r="D8" s="22">
        <v>44</v>
      </c>
      <c r="E8" s="22">
        <v>4</v>
      </c>
      <c r="F8" s="22">
        <v>5</v>
      </c>
      <c r="G8" s="22">
        <v>5</v>
      </c>
      <c r="H8" s="22">
        <v>15</v>
      </c>
      <c r="I8" s="22">
        <v>24</v>
      </c>
      <c r="J8" s="22">
        <v>21</v>
      </c>
      <c r="K8" s="22">
        <v>45</v>
      </c>
      <c r="L8" s="22">
        <v>77</v>
      </c>
      <c r="M8" s="22">
        <v>100</v>
      </c>
      <c r="N8" s="22">
        <v>144</v>
      </c>
      <c r="O8" s="22">
        <v>246</v>
      </c>
      <c r="P8" s="22">
        <v>440</v>
      </c>
      <c r="Q8" s="22">
        <v>688</v>
      </c>
      <c r="R8" s="22">
        <v>842</v>
      </c>
      <c r="S8" s="22">
        <v>1283</v>
      </c>
      <c r="T8" s="22">
        <v>1960</v>
      </c>
      <c r="U8" s="22">
        <v>2475</v>
      </c>
      <c r="V8" s="22">
        <v>2856</v>
      </c>
      <c r="W8" s="26">
        <v>3709</v>
      </c>
    </row>
    <row r="9" spans="1:23" x14ac:dyDescent="0.25">
      <c r="A9" s="20">
        <v>2</v>
      </c>
      <c r="B9" s="27">
        <v>44939</v>
      </c>
      <c r="C9" s="23">
        <v>17381</v>
      </c>
      <c r="D9" s="23">
        <v>55</v>
      </c>
      <c r="E9" s="23">
        <v>12</v>
      </c>
      <c r="F9" s="23">
        <v>4</v>
      </c>
      <c r="G9" s="23">
        <v>8</v>
      </c>
      <c r="H9" s="23">
        <v>14</v>
      </c>
      <c r="I9" s="23">
        <v>30</v>
      </c>
      <c r="J9" s="23">
        <v>42</v>
      </c>
      <c r="K9" s="23">
        <v>73</v>
      </c>
      <c r="L9" s="23">
        <v>81</v>
      </c>
      <c r="M9" s="23">
        <v>125</v>
      </c>
      <c r="N9" s="23">
        <v>200</v>
      </c>
      <c r="O9" s="23">
        <v>352</v>
      </c>
      <c r="P9" s="23">
        <v>492</v>
      </c>
      <c r="Q9" s="23">
        <v>754</v>
      </c>
      <c r="R9" s="23">
        <v>1023</v>
      </c>
      <c r="S9" s="23">
        <v>1586</v>
      </c>
      <c r="T9" s="23">
        <v>2290</v>
      </c>
      <c r="U9" s="23">
        <v>2804</v>
      </c>
      <c r="V9" s="23">
        <v>3184</v>
      </c>
      <c r="W9" s="28">
        <v>4252</v>
      </c>
    </row>
    <row r="10" spans="1:23" x14ac:dyDescent="0.25">
      <c r="A10" s="20">
        <v>3</v>
      </c>
      <c r="B10" s="27">
        <v>44946</v>
      </c>
      <c r="C10" s="23">
        <v>15804</v>
      </c>
      <c r="D10" s="23">
        <v>50</v>
      </c>
      <c r="E10" s="23">
        <v>9</v>
      </c>
      <c r="F10" s="23">
        <v>4</v>
      </c>
      <c r="G10" s="23">
        <v>8</v>
      </c>
      <c r="H10" s="23">
        <v>18</v>
      </c>
      <c r="I10" s="23">
        <v>14</v>
      </c>
      <c r="J10" s="23">
        <v>37</v>
      </c>
      <c r="K10" s="23">
        <v>72</v>
      </c>
      <c r="L10" s="23">
        <v>116</v>
      </c>
      <c r="M10" s="23">
        <v>147</v>
      </c>
      <c r="N10" s="23">
        <v>191</v>
      </c>
      <c r="O10" s="23">
        <v>329</v>
      </c>
      <c r="P10" s="23">
        <v>500</v>
      </c>
      <c r="Q10" s="23">
        <v>703</v>
      </c>
      <c r="R10" s="23">
        <v>940</v>
      </c>
      <c r="S10" s="23">
        <v>1423</v>
      </c>
      <c r="T10" s="23">
        <v>2104</v>
      </c>
      <c r="U10" s="23">
        <v>2511</v>
      </c>
      <c r="V10" s="23">
        <v>2923</v>
      </c>
      <c r="W10" s="28">
        <v>3705</v>
      </c>
    </row>
    <row r="11" spans="1:23" x14ac:dyDescent="0.25">
      <c r="A11" s="20">
        <v>4</v>
      </c>
      <c r="B11" s="27">
        <v>44953</v>
      </c>
      <c r="C11" s="23">
        <v>14137</v>
      </c>
      <c r="D11" s="23">
        <v>56</v>
      </c>
      <c r="E11" s="23">
        <v>5</v>
      </c>
      <c r="F11" s="23">
        <v>5</v>
      </c>
      <c r="G11" s="23">
        <v>8</v>
      </c>
      <c r="H11" s="23">
        <v>11</v>
      </c>
      <c r="I11" s="23">
        <v>20</v>
      </c>
      <c r="J11" s="23">
        <v>38</v>
      </c>
      <c r="K11" s="23">
        <v>63</v>
      </c>
      <c r="L11" s="23">
        <v>80</v>
      </c>
      <c r="M11" s="23">
        <v>141</v>
      </c>
      <c r="N11" s="23">
        <v>181</v>
      </c>
      <c r="O11" s="23">
        <v>346</v>
      </c>
      <c r="P11" s="23">
        <v>483</v>
      </c>
      <c r="Q11" s="23">
        <v>641</v>
      </c>
      <c r="R11" s="23">
        <v>882</v>
      </c>
      <c r="S11" s="23">
        <v>1294</v>
      </c>
      <c r="T11" s="23">
        <v>1884</v>
      </c>
      <c r="U11" s="23">
        <v>2231</v>
      </c>
      <c r="V11" s="23">
        <v>2583</v>
      </c>
      <c r="W11" s="28">
        <v>3185</v>
      </c>
    </row>
    <row r="12" spans="1:23" x14ac:dyDescent="0.25">
      <c r="A12" s="20">
        <v>5</v>
      </c>
      <c r="B12" s="27">
        <v>44960</v>
      </c>
      <c r="C12" s="23">
        <v>13412</v>
      </c>
      <c r="D12" s="23">
        <v>59</v>
      </c>
      <c r="E12" s="23">
        <v>11</v>
      </c>
      <c r="F12" s="23">
        <v>5</v>
      </c>
      <c r="G12" s="23">
        <v>6</v>
      </c>
      <c r="H12" s="23">
        <v>23</v>
      </c>
      <c r="I12" s="23">
        <v>21</v>
      </c>
      <c r="J12" s="23">
        <v>39</v>
      </c>
      <c r="K12" s="23">
        <v>43</v>
      </c>
      <c r="L12" s="23">
        <v>94</v>
      </c>
      <c r="M12" s="23">
        <v>136</v>
      </c>
      <c r="N12" s="23">
        <v>178</v>
      </c>
      <c r="O12" s="23">
        <v>266</v>
      </c>
      <c r="P12" s="23">
        <v>454</v>
      </c>
      <c r="Q12" s="23">
        <v>641</v>
      </c>
      <c r="R12" s="23">
        <v>872</v>
      </c>
      <c r="S12" s="23">
        <v>1137</v>
      </c>
      <c r="T12" s="23">
        <v>1836</v>
      </c>
      <c r="U12" s="23">
        <v>2156</v>
      </c>
      <c r="V12" s="23">
        <v>2427</v>
      </c>
      <c r="W12" s="28">
        <v>3008</v>
      </c>
    </row>
    <row r="13" spans="1:23" x14ac:dyDescent="0.25">
      <c r="A13" s="20">
        <v>6</v>
      </c>
      <c r="B13" s="27">
        <v>44967</v>
      </c>
      <c r="C13" s="23">
        <v>12672</v>
      </c>
      <c r="D13" s="23">
        <v>45</v>
      </c>
      <c r="E13" s="23">
        <v>4</v>
      </c>
      <c r="F13" s="23">
        <v>5</v>
      </c>
      <c r="G13" s="23">
        <v>13</v>
      </c>
      <c r="H13" s="23">
        <v>14</v>
      </c>
      <c r="I13" s="23">
        <v>21</v>
      </c>
      <c r="J13" s="23">
        <v>41</v>
      </c>
      <c r="K13" s="23">
        <v>54</v>
      </c>
      <c r="L13" s="23">
        <v>95</v>
      </c>
      <c r="M13" s="23">
        <v>115</v>
      </c>
      <c r="N13" s="23">
        <v>151</v>
      </c>
      <c r="O13" s="23">
        <v>288</v>
      </c>
      <c r="P13" s="23">
        <v>424</v>
      </c>
      <c r="Q13" s="23">
        <v>607</v>
      </c>
      <c r="R13" s="23">
        <v>802</v>
      </c>
      <c r="S13" s="23">
        <v>1171</v>
      </c>
      <c r="T13" s="23">
        <v>1721</v>
      </c>
      <c r="U13" s="23">
        <v>1947</v>
      </c>
      <c r="V13" s="23">
        <v>2306</v>
      </c>
      <c r="W13" s="28">
        <v>2848</v>
      </c>
    </row>
    <row r="14" spans="1:23" x14ac:dyDescent="0.25">
      <c r="A14" s="20">
        <v>7</v>
      </c>
      <c r="B14" s="27">
        <v>44974</v>
      </c>
      <c r="C14" s="23">
        <v>12031</v>
      </c>
      <c r="D14" s="23">
        <v>60</v>
      </c>
      <c r="E14" s="23">
        <v>8</v>
      </c>
      <c r="F14" s="23">
        <v>1</v>
      </c>
      <c r="G14" s="23">
        <v>8</v>
      </c>
      <c r="H14" s="23">
        <v>20</v>
      </c>
      <c r="I14" s="23">
        <v>19</v>
      </c>
      <c r="J14" s="23">
        <v>39</v>
      </c>
      <c r="K14" s="23">
        <v>54</v>
      </c>
      <c r="L14" s="23">
        <v>75</v>
      </c>
      <c r="M14" s="23">
        <v>125</v>
      </c>
      <c r="N14" s="23">
        <v>168</v>
      </c>
      <c r="O14" s="23">
        <v>256</v>
      </c>
      <c r="P14" s="23">
        <v>380</v>
      </c>
      <c r="Q14" s="23">
        <v>559</v>
      </c>
      <c r="R14" s="23">
        <v>813</v>
      </c>
      <c r="S14" s="23">
        <v>1096</v>
      </c>
      <c r="T14" s="23">
        <v>1619</v>
      </c>
      <c r="U14" s="23">
        <v>1936</v>
      </c>
      <c r="V14" s="23">
        <v>2185</v>
      </c>
      <c r="W14" s="28">
        <v>2610</v>
      </c>
    </row>
    <row r="15" spans="1:23" x14ac:dyDescent="0.25">
      <c r="A15" s="20">
        <v>8</v>
      </c>
      <c r="B15" s="27">
        <v>44981</v>
      </c>
      <c r="C15" s="23">
        <v>11952</v>
      </c>
      <c r="D15" s="23">
        <v>55</v>
      </c>
      <c r="E15" s="23">
        <v>11</v>
      </c>
      <c r="F15" s="23">
        <v>2</v>
      </c>
      <c r="G15" s="23">
        <v>10</v>
      </c>
      <c r="H15" s="23">
        <v>20</v>
      </c>
      <c r="I15" s="23">
        <v>20</v>
      </c>
      <c r="J15" s="23">
        <v>34</v>
      </c>
      <c r="K15" s="23">
        <v>60</v>
      </c>
      <c r="L15" s="23">
        <v>94</v>
      </c>
      <c r="M15" s="23">
        <v>148</v>
      </c>
      <c r="N15" s="23">
        <v>156</v>
      </c>
      <c r="O15" s="23">
        <v>295</v>
      </c>
      <c r="P15" s="23">
        <v>418</v>
      </c>
      <c r="Q15" s="23">
        <v>536</v>
      </c>
      <c r="R15" s="23">
        <v>780</v>
      </c>
      <c r="S15" s="23">
        <v>1063</v>
      </c>
      <c r="T15" s="23">
        <v>1597</v>
      </c>
      <c r="U15" s="23">
        <v>1927</v>
      </c>
      <c r="V15" s="23">
        <v>2130</v>
      </c>
      <c r="W15" s="28">
        <v>2596</v>
      </c>
    </row>
    <row r="16" spans="1:23" x14ac:dyDescent="0.25">
      <c r="A16" s="20">
        <v>9</v>
      </c>
      <c r="B16" s="27">
        <v>44988</v>
      </c>
      <c r="C16" s="23">
        <v>12049</v>
      </c>
      <c r="D16" s="23">
        <v>51</v>
      </c>
      <c r="E16" s="23">
        <v>7</v>
      </c>
      <c r="F16" s="23">
        <v>4</v>
      </c>
      <c r="G16" s="23">
        <v>4</v>
      </c>
      <c r="H16" s="23">
        <v>20</v>
      </c>
      <c r="I16" s="23">
        <v>32</v>
      </c>
      <c r="J16" s="23">
        <v>31</v>
      </c>
      <c r="K16" s="23">
        <v>50</v>
      </c>
      <c r="L16" s="23">
        <v>81</v>
      </c>
      <c r="M16" s="23">
        <v>126</v>
      </c>
      <c r="N16" s="23">
        <v>138</v>
      </c>
      <c r="O16" s="23">
        <v>289</v>
      </c>
      <c r="P16" s="23">
        <v>429</v>
      </c>
      <c r="Q16" s="23">
        <v>576</v>
      </c>
      <c r="R16" s="23">
        <v>767</v>
      </c>
      <c r="S16" s="23">
        <v>1078</v>
      </c>
      <c r="T16" s="23">
        <v>1650</v>
      </c>
      <c r="U16" s="23">
        <v>1911</v>
      </c>
      <c r="V16" s="23">
        <v>2211</v>
      </c>
      <c r="W16" s="28">
        <v>2594</v>
      </c>
    </row>
    <row r="17" spans="1:23" x14ac:dyDescent="0.25">
      <c r="A17" s="20">
        <v>10</v>
      </c>
      <c r="B17" s="27">
        <v>44995</v>
      </c>
      <c r="C17" s="23">
        <v>11410</v>
      </c>
      <c r="D17" s="23">
        <v>41</v>
      </c>
      <c r="E17" s="23">
        <v>10</v>
      </c>
      <c r="F17" s="23">
        <v>6</v>
      </c>
      <c r="G17" s="23">
        <v>9</v>
      </c>
      <c r="H17" s="23">
        <v>18</v>
      </c>
      <c r="I17" s="23">
        <v>31</v>
      </c>
      <c r="J17" s="23">
        <v>35</v>
      </c>
      <c r="K17" s="23">
        <v>56</v>
      </c>
      <c r="L17" s="23">
        <v>103</v>
      </c>
      <c r="M17" s="23">
        <v>115</v>
      </c>
      <c r="N17" s="23">
        <v>160</v>
      </c>
      <c r="O17" s="23">
        <v>262</v>
      </c>
      <c r="P17" s="23">
        <v>387</v>
      </c>
      <c r="Q17" s="23">
        <v>525</v>
      </c>
      <c r="R17" s="23">
        <v>703</v>
      </c>
      <c r="S17" s="23">
        <v>1065</v>
      </c>
      <c r="T17" s="23">
        <v>1531</v>
      </c>
      <c r="U17" s="23">
        <v>1739</v>
      </c>
      <c r="V17" s="23">
        <v>2150</v>
      </c>
      <c r="W17" s="28">
        <v>2464</v>
      </c>
    </row>
    <row r="18" spans="1:23" x14ac:dyDescent="0.25">
      <c r="A18" s="20">
        <v>11</v>
      </c>
      <c r="B18" s="27">
        <v>45002</v>
      </c>
      <c r="C18" s="23">
        <v>12133</v>
      </c>
      <c r="D18" s="23">
        <v>47</v>
      </c>
      <c r="E18" s="23">
        <v>9</v>
      </c>
      <c r="F18" s="23">
        <v>6</v>
      </c>
      <c r="G18" s="23">
        <v>8</v>
      </c>
      <c r="H18" s="23">
        <v>20</v>
      </c>
      <c r="I18" s="23">
        <v>38</v>
      </c>
      <c r="J18" s="23">
        <v>39</v>
      </c>
      <c r="K18" s="23">
        <v>60</v>
      </c>
      <c r="L18" s="23">
        <v>92</v>
      </c>
      <c r="M18" s="23">
        <v>111</v>
      </c>
      <c r="N18" s="23">
        <v>161</v>
      </c>
      <c r="O18" s="23">
        <v>304</v>
      </c>
      <c r="P18" s="23">
        <v>403</v>
      </c>
      <c r="Q18" s="23">
        <v>573</v>
      </c>
      <c r="R18" s="23">
        <v>748</v>
      </c>
      <c r="S18" s="23">
        <v>1154</v>
      </c>
      <c r="T18" s="23">
        <v>1637</v>
      </c>
      <c r="U18" s="23">
        <v>1925</v>
      </c>
      <c r="V18" s="23">
        <v>2186</v>
      </c>
      <c r="W18" s="28">
        <v>2612</v>
      </c>
    </row>
    <row r="19" spans="1:23" x14ac:dyDescent="0.25">
      <c r="A19" s="20">
        <v>12</v>
      </c>
      <c r="B19" s="27">
        <v>45009</v>
      </c>
      <c r="C19" s="23">
        <v>12052</v>
      </c>
      <c r="D19" s="23">
        <v>41</v>
      </c>
      <c r="E19" s="23">
        <v>13</v>
      </c>
      <c r="F19" s="23">
        <v>7</v>
      </c>
      <c r="G19" s="23">
        <v>4</v>
      </c>
      <c r="H19" s="23">
        <v>23</v>
      </c>
      <c r="I19" s="23">
        <v>30</v>
      </c>
      <c r="J19" s="23">
        <v>32</v>
      </c>
      <c r="K19" s="23">
        <v>59</v>
      </c>
      <c r="L19" s="23">
        <v>82</v>
      </c>
      <c r="M19" s="23">
        <v>124</v>
      </c>
      <c r="N19" s="23">
        <v>171</v>
      </c>
      <c r="O19" s="23">
        <v>283</v>
      </c>
      <c r="P19" s="23">
        <v>426</v>
      </c>
      <c r="Q19" s="23">
        <v>532</v>
      </c>
      <c r="R19" s="23">
        <v>775</v>
      </c>
      <c r="S19" s="23">
        <v>1078</v>
      </c>
      <c r="T19" s="23">
        <v>1581</v>
      </c>
      <c r="U19" s="23">
        <v>1940</v>
      </c>
      <c r="V19" s="23">
        <v>2149</v>
      </c>
      <c r="W19" s="28">
        <v>2702</v>
      </c>
    </row>
    <row r="20" spans="1:23" x14ac:dyDescent="0.25">
      <c r="A20" s="20">
        <v>13</v>
      </c>
      <c r="B20" s="27">
        <v>45016</v>
      </c>
      <c r="C20" s="23">
        <v>11584</v>
      </c>
      <c r="D20" s="23">
        <v>45</v>
      </c>
      <c r="E20" s="23">
        <v>9</v>
      </c>
      <c r="F20" s="23">
        <v>3</v>
      </c>
      <c r="G20" s="23">
        <v>11</v>
      </c>
      <c r="H20" s="23">
        <v>15</v>
      </c>
      <c r="I20" s="23">
        <v>19</v>
      </c>
      <c r="J20" s="23">
        <v>38</v>
      </c>
      <c r="K20" s="23">
        <v>54</v>
      </c>
      <c r="L20" s="23">
        <v>82</v>
      </c>
      <c r="M20" s="23">
        <v>120</v>
      </c>
      <c r="N20" s="23">
        <v>173</v>
      </c>
      <c r="O20" s="23">
        <v>252</v>
      </c>
      <c r="P20" s="23">
        <v>390</v>
      </c>
      <c r="Q20" s="23">
        <v>553</v>
      </c>
      <c r="R20" s="23">
        <v>768</v>
      </c>
      <c r="S20" s="23">
        <v>1038</v>
      </c>
      <c r="T20" s="23">
        <v>1607</v>
      </c>
      <c r="U20" s="23">
        <v>1776</v>
      </c>
      <c r="V20" s="23">
        <v>2077</v>
      </c>
      <c r="W20" s="28">
        <v>2554</v>
      </c>
    </row>
    <row r="21" spans="1:23" x14ac:dyDescent="0.25">
      <c r="A21" s="20">
        <v>14</v>
      </c>
      <c r="B21" s="27">
        <v>45023</v>
      </c>
      <c r="C21" s="23">
        <v>10089</v>
      </c>
      <c r="D21" s="23">
        <v>45</v>
      </c>
      <c r="E21" s="23">
        <v>6</v>
      </c>
      <c r="F21" s="23">
        <v>5</v>
      </c>
      <c r="G21" s="23">
        <v>7</v>
      </c>
      <c r="H21" s="23">
        <v>11</v>
      </c>
      <c r="I21" s="23">
        <v>17</v>
      </c>
      <c r="J21" s="23">
        <v>30</v>
      </c>
      <c r="K21" s="23">
        <v>61</v>
      </c>
      <c r="L21" s="23">
        <v>79</v>
      </c>
      <c r="M21" s="23">
        <v>94</v>
      </c>
      <c r="N21" s="23">
        <v>128</v>
      </c>
      <c r="O21" s="23">
        <v>223</v>
      </c>
      <c r="P21" s="23">
        <v>342</v>
      </c>
      <c r="Q21" s="23">
        <v>463</v>
      </c>
      <c r="R21" s="23">
        <v>670</v>
      </c>
      <c r="S21" s="23">
        <v>904</v>
      </c>
      <c r="T21" s="23">
        <v>1419</v>
      </c>
      <c r="U21" s="23">
        <v>1619</v>
      </c>
      <c r="V21" s="23">
        <v>1847</v>
      </c>
      <c r="W21" s="28">
        <v>2119</v>
      </c>
    </row>
    <row r="22" spans="1:23" x14ac:dyDescent="0.25">
      <c r="A22" s="20">
        <v>15</v>
      </c>
      <c r="B22" s="27">
        <v>45030</v>
      </c>
      <c r="C22" s="23">
        <v>9978</v>
      </c>
      <c r="D22" s="23">
        <v>42</v>
      </c>
      <c r="E22" s="23">
        <v>10</v>
      </c>
      <c r="F22" s="23">
        <v>4</v>
      </c>
      <c r="G22" s="23">
        <v>6</v>
      </c>
      <c r="H22" s="23">
        <v>15</v>
      </c>
      <c r="I22" s="23">
        <v>21</v>
      </c>
      <c r="J22" s="23">
        <v>31</v>
      </c>
      <c r="K22" s="23">
        <v>40</v>
      </c>
      <c r="L22" s="23">
        <v>70</v>
      </c>
      <c r="M22" s="23">
        <v>99</v>
      </c>
      <c r="N22" s="23">
        <v>135</v>
      </c>
      <c r="O22" s="23">
        <v>227</v>
      </c>
      <c r="P22" s="23">
        <v>371</v>
      </c>
      <c r="Q22" s="23">
        <v>471</v>
      </c>
      <c r="R22" s="23">
        <v>664</v>
      </c>
      <c r="S22" s="23">
        <v>948</v>
      </c>
      <c r="T22" s="23">
        <v>1385</v>
      </c>
      <c r="U22" s="23">
        <v>1549</v>
      </c>
      <c r="V22" s="23">
        <v>1741</v>
      </c>
      <c r="W22" s="28">
        <v>2149</v>
      </c>
    </row>
    <row r="23" spans="1:23" x14ac:dyDescent="0.25">
      <c r="A23" s="20">
        <v>16</v>
      </c>
      <c r="B23" s="27">
        <v>45037</v>
      </c>
      <c r="C23" s="23">
        <v>12420</v>
      </c>
      <c r="D23" s="23">
        <v>58</v>
      </c>
      <c r="E23" s="23">
        <v>7</v>
      </c>
      <c r="F23" s="23">
        <v>3</v>
      </c>
      <c r="G23" s="23">
        <v>6</v>
      </c>
      <c r="H23" s="23">
        <v>23</v>
      </c>
      <c r="I23" s="23">
        <v>24</v>
      </c>
      <c r="J23" s="23">
        <v>33</v>
      </c>
      <c r="K23" s="23">
        <v>62</v>
      </c>
      <c r="L23" s="23">
        <v>67</v>
      </c>
      <c r="M23" s="23">
        <v>112</v>
      </c>
      <c r="N23" s="23">
        <v>159</v>
      </c>
      <c r="O23" s="23">
        <v>290</v>
      </c>
      <c r="P23" s="23">
        <v>415</v>
      </c>
      <c r="Q23" s="23">
        <v>614</v>
      </c>
      <c r="R23" s="23">
        <v>756</v>
      </c>
      <c r="S23" s="23">
        <v>1122</v>
      </c>
      <c r="T23" s="23">
        <v>1718</v>
      </c>
      <c r="U23" s="23">
        <v>2028</v>
      </c>
      <c r="V23" s="23">
        <v>2193</v>
      </c>
      <c r="W23" s="28">
        <v>2730</v>
      </c>
    </row>
    <row r="24" spans="1:23" x14ac:dyDescent="0.25">
      <c r="A24" s="20">
        <v>17</v>
      </c>
      <c r="B24" s="27">
        <v>45044</v>
      </c>
      <c r="C24" s="23">
        <v>12152</v>
      </c>
      <c r="D24" s="23">
        <v>52</v>
      </c>
      <c r="E24" s="23">
        <v>8</v>
      </c>
      <c r="F24" s="23">
        <v>6</v>
      </c>
      <c r="G24" s="23">
        <v>5</v>
      </c>
      <c r="H24" s="23">
        <v>27</v>
      </c>
      <c r="I24" s="23">
        <v>26</v>
      </c>
      <c r="J24" s="23">
        <v>31</v>
      </c>
      <c r="K24" s="23">
        <v>68</v>
      </c>
      <c r="L24" s="23">
        <v>90</v>
      </c>
      <c r="M24" s="23">
        <v>133</v>
      </c>
      <c r="N24" s="23">
        <v>184</v>
      </c>
      <c r="O24" s="23">
        <v>272</v>
      </c>
      <c r="P24" s="23">
        <v>469</v>
      </c>
      <c r="Q24" s="23">
        <v>626</v>
      </c>
      <c r="R24" s="23">
        <v>802</v>
      </c>
      <c r="S24" s="23">
        <v>1118</v>
      </c>
      <c r="T24" s="23">
        <v>1679</v>
      </c>
      <c r="U24" s="23">
        <v>1849</v>
      </c>
      <c r="V24" s="23">
        <v>2125</v>
      </c>
      <c r="W24" s="28">
        <v>2582</v>
      </c>
    </row>
    <row r="25" spans="1:23" x14ac:dyDescent="0.25">
      <c r="A25" s="20">
        <v>18</v>
      </c>
      <c r="B25" s="27">
        <v>45051</v>
      </c>
      <c r="C25" s="23">
        <v>10143</v>
      </c>
      <c r="D25" s="23">
        <v>44</v>
      </c>
      <c r="E25" s="23">
        <v>6</v>
      </c>
      <c r="F25" s="23">
        <v>5</v>
      </c>
      <c r="G25" s="23">
        <v>7</v>
      </c>
      <c r="H25" s="23">
        <v>21</v>
      </c>
      <c r="I25" s="23">
        <v>17</v>
      </c>
      <c r="J25" s="23">
        <v>35</v>
      </c>
      <c r="K25" s="23">
        <v>59</v>
      </c>
      <c r="L25" s="23">
        <v>72</v>
      </c>
      <c r="M25" s="23">
        <v>96</v>
      </c>
      <c r="N25" s="23">
        <v>150</v>
      </c>
      <c r="O25" s="23">
        <v>238</v>
      </c>
      <c r="P25" s="23">
        <v>384</v>
      </c>
      <c r="Q25" s="23">
        <v>484</v>
      </c>
      <c r="R25" s="23">
        <v>650</v>
      </c>
      <c r="S25" s="23">
        <v>858</v>
      </c>
      <c r="T25" s="23">
        <v>1404</v>
      </c>
      <c r="U25" s="23">
        <v>1623</v>
      </c>
      <c r="V25" s="23">
        <v>1800</v>
      </c>
      <c r="W25" s="28">
        <v>2190</v>
      </c>
    </row>
    <row r="26" spans="1:23" x14ac:dyDescent="0.25">
      <c r="A26" s="20">
        <v>19</v>
      </c>
      <c r="B26" s="27">
        <v>45058</v>
      </c>
      <c r="C26" s="23">
        <v>10367</v>
      </c>
      <c r="D26" s="23">
        <v>34</v>
      </c>
      <c r="E26" s="23">
        <v>7</v>
      </c>
      <c r="F26" s="23">
        <v>3</v>
      </c>
      <c r="G26" s="23">
        <v>4</v>
      </c>
      <c r="H26" s="23">
        <v>17</v>
      </c>
      <c r="I26" s="23">
        <v>27</v>
      </c>
      <c r="J26" s="23">
        <v>41</v>
      </c>
      <c r="K26" s="23">
        <v>54</v>
      </c>
      <c r="L26" s="23">
        <v>74</v>
      </c>
      <c r="M26" s="23">
        <v>104</v>
      </c>
      <c r="N26" s="23">
        <v>172</v>
      </c>
      <c r="O26" s="23">
        <v>232</v>
      </c>
      <c r="P26" s="23">
        <v>358</v>
      </c>
      <c r="Q26" s="23">
        <v>502</v>
      </c>
      <c r="R26" s="23">
        <v>682</v>
      </c>
      <c r="S26" s="23">
        <v>947</v>
      </c>
      <c r="T26" s="23">
        <v>1476</v>
      </c>
      <c r="U26" s="23">
        <v>1581</v>
      </c>
      <c r="V26" s="23">
        <v>1838</v>
      </c>
      <c r="W26" s="28">
        <v>2214</v>
      </c>
    </row>
    <row r="27" spans="1:23" x14ac:dyDescent="0.25">
      <c r="A27" s="20">
        <v>20</v>
      </c>
      <c r="B27" s="27">
        <v>45065</v>
      </c>
      <c r="C27" s="23">
        <v>11654</v>
      </c>
      <c r="D27" s="23">
        <v>62</v>
      </c>
      <c r="E27" s="23">
        <v>6</v>
      </c>
      <c r="F27" s="23">
        <v>7</v>
      </c>
      <c r="G27" s="23">
        <v>10</v>
      </c>
      <c r="H27" s="23">
        <v>27</v>
      </c>
      <c r="I27" s="23">
        <v>22</v>
      </c>
      <c r="J27" s="23">
        <v>26</v>
      </c>
      <c r="K27" s="23">
        <v>51</v>
      </c>
      <c r="L27" s="23">
        <v>105</v>
      </c>
      <c r="M27" s="23">
        <v>107</v>
      </c>
      <c r="N27" s="23">
        <v>167</v>
      </c>
      <c r="O27" s="23">
        <v>286</v>
      </c>
      <c r="P27" s="23">
        <v>372</v>
      </c>
      <c r="Q27" s="23">
        <v>577</v>
      </c>
      <c r="R27" s="23">
        <v>751</v>
      </c>
      <c r="S27" s="23">
        <v>1118</v>
      </c>
      <c r="T27" s="23">
        <v>1585</v>
      </c>
      <c r="U27" s="23">
        <v>1874</v>
      </c>
      <c r="V27" s="23">
        <v>2040</v>
      </c>
      <c r="W27" s="28">
        <v>2461</v>
      </c>
    </row>
    <row r="28" spans="1:23" x14ac:dyDescent="0.25">
      <c r="A28" s="20">
        <v>21</v>
      </c>
      <c r="B28" s="27">
        <v>45072</v>
      </c>
      <c r="C28" s="23">
        <v>11111</v>
      </c>
      <c r="D28" s="23">
        <v>50</v>
      </c>
      <c r="E28" s="23">
        <v>5</v>
      </c>
      <c r="F28" s="23">
        <v>4</v>
      </c>
      <c r="G28" s="23">
        <v>6</v>
      </c>
      <c r="H28" s="23">
        <v>14</v>
      </c>
      <c r="I28" s="23">
        <v>42</v>
      </c>
      <c r="J28" s="23">
        <v>39</v>
      </c>
      <c r="K28" s="23">
        <v>49</v>
      </c>
      <c r="L28" s="23">
        <v>99</v>
      </c>
      <c r="M28" s="23">
        <v>124</v>
      </c>
      <c r="N28" s="23">
        <v>174</v>
      </c>
      <c r="O28" s="23">
        <v>253</v>
      </c>
      <c r="P28" s="23">
        <v>426</v>
      </c>
      <c r="Q28" s="23">
        <v>590</v>
      </c>
      <c r="R28" s="23">
        <v>698</v>
      </c>
      <c r="S28" s="23">
        <v>1075</v>
      </c>
      <c r="T28" s="23">
        <v>1558</v>
      </c>
      <c r="U28" s="23">
        <v>1738</v>
      </c>
      <c r="V28" s="23">
        <v>1897</v>
      </c>
      <c r="W28" s="28">
        <v>2270</v>
      </c>
    </row>
    <row r="29" spans="1:23" x14ac:dyDescent="0.25">
      <c r="A29" s="20">
        <v>22</v>
      </c>
      <c r="B29" s="27">
        <v>45079</v>
      </c>
      <c r="C29" s="23">
        <v>8839</v>
      </c>
      <c r="D29" s="23">
        <v>46</v>
      </c>
      <c r="E29" s="23">
        <v>8</v>
      </c>
      <c r="F29" s="23">
        <v>4</v>
      </c>
      <c r="G29" s="23">
        <v>5</v>
      </c>
      <c r="H29" s="23">
        <v>22</v>
      </c>
      <c r="I29" s="23">
        <v>20</v>
      </c>
      <c r="J29" s="23">
        <v>29</v>
      </c>
      <c r="K29" s="23">
        <v>50</v>
      </c>
      <c r="L29" s="23">
        <v>73</v>
      </c>
      <c r="M29" s="23">
        <v>83</v>
      </c>
      <c r="N29" s="23">
        <v>115</v>
      </c>
      <c r="O29" s="23">
        <v>226</v>
      </c>
      <c r="P29" s="23">
        <v>353</v>
      </c>
      <c r="Q29" s="23">
        <v>420</v>
      </c>
      <c r="R29" s="23">
        <v>566</v>
      </c>
      <c r="S29" s="23">
        <v>853</v>
      </c>
      <c r="T29" s="23">
        <v>1273</v>
      </c>
      <c r="U29" s="23">
        <v>1403</v>
      </c>
      <c r="V29" s="23">
        <v>1562</v>
      </c>
      <c r="W29" s="28">
        <v>1728</v>
      </c>
    </row>
    <row r="30" spans="1:23" x14ac:dyDescent="0.25">
      <c r="A30" s="20">
        <v>23</v>
      </c>
      <c r="B30" s="27">
        <v>45086</v>
      </c>
      <c r="C30" s="23">
        <v>10940</v>
      </c>
      <c r="D30" s="23">
        <v>50</v>
      </c>
      <c r="E30" s="23">
        <v>4</v>
      </c>
      <c r="F30" s="23">
        <v>3</v>
      </c>
      <c r="G30" s="23">
        <v>9</v>
      </c>
      <c r="H30" s="23">
        <v>24</v>
      </c>
      <c r="I30" s="23">
        <v>32</v>
      </c>
      <c r="J30" s="23">
        <v>33</v>
      </c>
      <c r="K30" s="23">
        <v>50</v>
      </c>
      <c r="L30" s="23">
        <v>80</v>
      </c>
      <c r="M30" s="23">
        <v>119</v>
      </c>
      <c r="N30" s="23">
        <v>158</v>
      </c>
      <c r="O30" s="23">
        <v>267</v>
      </c>
      <c r="P30" s="23">
        <v>398</v>
      </c>
      <c r="Q30" s="23">
        <v>531</v>
      </c>
      <c r="R30" s="23">
        <v>678</v>
      </c>
      <c r="S30" s="23">
        <v>1037</v>
      </c>
      <c r="T30" s="23">
        <v>1576</v>
      </c>
      <c r="U30" s="23">
        <v>1707</v>
      </c>
      <c r="V30" s="23">
        <v>1962</v>
      </c>
      <c r="W30" s="28">
        <v>2222</v>
      </c>
    </row>
    <row r="31" spans="1:23" x14ac:dyDescent="0.25">
      <c r="A31" s="20">
        <v>24</v>
      </c>
      <c r="B31" s="27">
        <v>45093</v>
      </c>
      <c r="C31" s="23">
        <v>10700</v>
      </c>
      <c r="D31" s="23">
        <v>56</v>
      </c>
      <c r="E31" s="23">
        <v>5</v>
      </c>
      <c r="F31" s="23">
        <v>5</v>
      </c>
      <c r="G31" s="23">
        <v>10</v>
      </c>
      <c r="H31" s="23">
        <v>19</v>
      </c>
      <c r="I31" s="23">
        <v>29</v>
      </c>
      <c r="J31" s="23">
        <v>32</v>
      </c>
      <c r="K31" s="23">
        <v>53</v>
      </c>
      <c r="L31" s="23">
        <v>68</v>
      </c>
      <c r="M31" s="23">
        <v>97</v>
      </c>
      <c r="N31" s="23">
        <v>166</v>
      </c>
      <c r="O31" s="23">
        <v>245</v>
      </c>
      <c r="P31" s="23">
        <v>375</v>
      </c>
      <c r="Q31" s="23">
        <v>561</v>
      </c>
      <c r="R31" s="23">
        <v>682</v>
      </c>
      <c r="S31" s="23">
        <v>1070</v>
      </c>
      <c r="T31" s="23">
        <v>1537</v>
      </c>
      <c r="U31" s="23">
        <v>1611</v>
      </c>
      <c r="V31" s="23">
        <v>1911</v>
      </c>
      <c r="W31" s="28">
        <v>2168</v>
      </c>
    </row>
    <row r="32" spans="1:23" x14ac:dyDescent="0.25">
      <c r="A32" s="20">
        <v>25</v>
      </c>
      <c r="B32" s="27">
        <v>45100</v>
      </c>
      <c r="C32" s="23">
        <v>10472</v>
      </c>
      <c r="D32" s="23">
        <v>50</v>
      </c>
      <c r="E32" s="23">
        <v>4</v>
      </c>
      <c r="F32" s="23">
        <v>5</v>
      </c>
      <c r="G32" s="23">
        <v>6</v>
      </c>
      <c r="H32" s="23">
        <v>13</v>
      </c>
      <c r="I32" s="23">
        <v>29</v>
      </c>
      <c r="J32" s="23">
        <v>33</v>
      </c>
      <c r="K32" s="23">
        <v>63</v>
      </c>
      <c r="L32" s="23">
        <v>84</v>
      </c>
      <c r="M32" s="23">
        <v>119</v>
      </c>
      <c r="N32" s="23">
        <v>171</v>
      </c>
      <c r="O32" s="23">
        <v>269</v>
      </c>
      <c r="P32" s="23">
        <v>438</v>
      </c>
      <c r="Q32" s="23">
        <v>528</v>
      </c>
      <c r="R32" s="23">
        <v>687</v>
      </c>
      <c r="S32" s="23">
        <v>968</v>
      </c>
      <c r="T32" s="23">
        <v>1446</v>
      </c>
      <c r="U32" s="23">
        <v>1623</v>
      </c>
      <c r="V32" s="23">
        <v>1844</v>
      </c>
      <c r="W32" s="28">
        <v>2092</v>
      </c>
    </row>
    <row r="33" spans="1:23" x14ac:dyDescent="0.25">
      <c r="A33" s="20">
        <v>26</v>
      </c>
      <c r="B33" s="27">
        <v>45107</v>
      </c>
      <c r="C33" s="23">
        <v>10373</v>
      </c>
      <c r="D33" s="23">
        <v>43</v>
      </c>
      <c r="E33" s="23">
        <v>9</v>
      </c>
      <c r="F33" s="23">
        <v>5</v>
      </c>
      <c r="G33" s="23">
        <v>9</v>
      </c>
      <c r="H33" s="23">
        <v>20</v>
      </c>
      <c r="I33" s="23">
        <v>19</v>
      </c>
      <c r="J33" s="23">
        <v>42</v>
      </c>
      <c r="K33" s="23">
        <v>52</v>
      </c>
      <c r="L33" s="23">
        <v>74</v>
      </c>
      <c r="M33" s="23">
        <v>118</v>
      </c>
      <c r="N33" s="23">
        <v>150</v>
      </c>
      <c r="O33" s="23">
        <v>253</v>
      </c>
      <c r="P33" s="23">
        <v>382</v>
      </c>
      <c r="Q33" s="23">
        <v>537</v>
      </c>
      <c r="R33" s="23">
        <v>689</v>
      </c>
      <c r="S33" s="23">
        <v>1005</v>
      </c>
      <c r="T33" s="23">
        <v>1483</v>
      </c>
      <c r="U33" s="23">
        <v>1654</v>
      </c>
      <c r="V33" s="23">
        <v>1756</v>
      </c>
      <c r="W33" s="28">
        <v>2073</v>
      </c>
    </row>
    <row r="34" spans="1:23" x14ac:dyDescent="0.25">
      <c r="A34" s="20">
        <v>27</v>
      </c>
      <c r="B34" s="27">
        <v>45114</v>
      </c>
      <c r="C34" s="23">
        <v>9736</v>
      </c>
      <c r="D34" s="23">
        <v>38</v>
      </c>
      <c r="E34" s="23">
        <v>6</v>
      </c>
      <c r="F34" s="23">
        <v>3</v>
      </c>
      <c r="G34" s="23">
        <v>10</v>
      </c>
      <c r="H34" s="23">
        <v>16</v>
      </c>
      <c r="I34" s="23">
        <v>24</v>
      </c>
      <c r="J34" s="23">
        <v>33</v>
      </c>
      <c r="K34" s="23">
        <v>59</v>
      </c>
      <c r="L34" s="23">
        <v>73</v>
      </c>
      <c r="M34" s="23">
        <v>133</v>
      </c>
      <c r="N34" s="23">
        <v>127</v>
      </c>
      <c r="O34" s="23">
        <v>253</v>
      </c>
      <c r="P34" s="23">
        <v>381</v>
      </c>
      <c r="Q34" s="23">
        <v>510</v>
      </c>
      <c r="R34" s="23">
        <v>636</v>
      </c>
      <c r="S34" s="23">
        <v>921</v>
      </c>
      <c r="T34" s="23">
        <v>1418</v>
      </c>
      <c r="U34" s="23">
        <v>1524</v>
      </c>
      <c r="V34" s="23">
        <v>1656</v>
      </c>
      <c r="W34" s="28">
        <v>1915</v>
      </c>
    </row>
    <row r="35" spans="1:23" x14ac:dyDescent="0.25">
      <c r="A35" s="20">
        <v>28</v>
      </c>
      <c r="B35" s="27">
        <v>45121</v>
      </c>
      <c r="C35" s="23">
        <v>10030</v>
      </c>
      <c r="D35" s="23">
        <v>46</v>
      </c>
      <c r="E35" s="23">
        <v>11</v>
      </c>
      <c r="F35" s="23">
        <v>6</v>
      </c>
      <c r="G35" s="23">
        <v>7</v>
      </c>
      <c r="H35" s="23">
        <v>29</v>
      </c>
      <c r="I35" s="23">
        <v>26</v>
      </c>
      <c r="J35" s="23">
        <v>51</v>
      </c>
      <c r="K35" s="23">
        <v>56</v>
      </c>
      <c r="L35" s="23">
        <v>75</v>
      </c>
      <c r="M35" s="23">
        <v>122</v>
      </c>
      <c r="N35" s="23">
        <v>154</v>
      </c>
      <c r="O35" s="23">
        <v>274</v>
      </c>
      <c r="P35" s="23">
        <v>375</v>
      </c>
      <c r="Q35" s="23">
        <v>528</v>
      </c>
      <c r="R35" s="23">
        <v>717</v>
      </c>
      <c r="S35" s="23">
        <v>920</v>
      </c>
      <c r="T35" s="23">
        <v>1391</v>
      </c>
      <c r="U35" s="23">
        <v>1550</v>
      </c>
      <c r="V35" s="23">
        <v>1651</v>
      </c>
      <c r="W35" s="28">
        <v>2041</v>
      </c>
    </row>
    <row r="36" spans="1:23" x14ac:dyDescent="0.25">
      <c r="A36" s="20">
        <v>29</v>
      </c>
      <c r="B36" s="27">
        <v>45128</v>
      </c>
      <c r="C36" s="23">
        <v>9659</v>
      </c>
      <c r="D36" s="23">
        <v>42</v>
      </c>
      <c r="E36" s="23">
        <v>5</v>
      </c>
      <c r="F36" s="23">
        <v>3</v>
      </c>
      <c r="G36" s="23">
        <v>8</v>
      </c>
      <c r="H36" s="23">
        <v>15</v>
      </c>
      <c r="I36" s="23">
        <v>32</v>
      </c>
      <c r="J36" s="23">
        <v>25</v>
      </c>
      <c r="K36" s="23">
        <v>40</v>
      </c>
      <c r="L36" s="23">
        <v>70</v>
      </c>
      <c r="M36" s="23">
        <v>116</v>
      </c>
      <c r="N36" s="23">
        <v>164</v>
      </c>
      <c r="O36" s="23">
        <v>237</v>
      </c>
      <c r="P36" s="23">
        <v>362</v>
      </c>
      <c r="Q36" s="23">
        <v>505</v>
      </c>
      <c r="R36" s="23">
        <v>641</v>
      </c>
      <c r="S36" s="23">
        <v>916</v>
      </c>
      <c r="T36" s="23">
        <v>1327</v>
      </c>
      <c r="U36" s="23">
        <v>1521</v>
      </c>
      <c r="V36" s="23">
        <v>1669</v>
      </c>
      <c r="W36" s="28">
        <v>1961</v>
      </c>
    </row>
    <row r="37" spans="1:23" x14ac:dyDescent="0.25">
      <c r="A37" s="20">
        <v>30</v>
      </c>
      <c r="B37" s="27">
        <v>45135</v>
      </c>
      <c r="C37" s="23">
        <v>9684</v>
      </c>
      <c r="D37" s="23">
        <v>57</v>
      </c>
      <c r="E37" s="23">
        <v>4</v>
      </c>
      <c r="F37" s="23">
        <v>3</v>
      </c>
      <c r="G37" s="23">
        <v>9</v>
      </c>
      <c r="H37" s="23">
        <v>14</v>
      </c>
      <c r="I37" s="23">
        <v>28</v>
      </c>
      <c r="J37" s="23">
        <v>29</v>
      </c>
      <c r="K37" s="23">
        <v>54</v>
      </c>
      <c r="L37" s="23">
        <v>79</v>
      </c>
      <c r="M37" s="23">
        <v>126</v>
      </c>
      <c r="N37" s="23">
        <v>133</v>
      </c>
      <c r="O37" s="23">
        <v>270</v>
      </c>
      <c r="P37" s="23">
        <v>367</v>
      </c>
      <c r="Q37" s="23">
        <v>480</v>
      </c>
      <c r="R37" s="23">
        <v>648</v>
      </c>
      <c r="S37" s="23">
        <v>957</v>
      </c>
      <c r="T37" s="23">
        <v>1340</v>
      </c>
      <c r="U37" s="23">
        <v>1469</v>
      </c>
      <c r="V37" s="23">
        <v>1686</v>
      </c>
      <c r="W37" s="28">
        <v>1931</v>
      </c>
    </row>
    <row r="38" spans="1:23" x14ac:dyDescent="0.25">
      <c r="A38" s="20">
        <v>31</v>
      </c>
      <c r="B38" s="27">
        <v>45142</v>
      </c>
      <c r="C38" s="23">
        <v>10038</v>
      </c>
      <c r="D38" s="23">
        <v>46</v>
      </c>
      <c r="E38" s="23">
        <v>10</v>
      </c>
      <c r="F38" s="23">
        <v>6</v>
      </c>
      <c r="G38" s="23">
        <v>2</v>
      </c>
      <c r="H38" s="23">
        <v>19</v>
      </c>
      <c r="I38" s="23">
        <v>24</v>
      </c>
      <c r="J38" s="23">
        <v>35</v>
      </c>
      <c r="K38" s="23">
        <v>48</v>
      </c>
      <c r="L38" s="23">
        <v>82</v>
      </c>
      <c r="M38" s="23">
        <v>119</v>
      </c>
      <c r="N38" s="23">
        <v>150</v>
      </c>
      <c r="O38" s="23">
        <v>259</v>
      </c>
      <c r="P38" s="23">
        <v>393</v>
      </c>
      <c r="Q38" s="23">
        <v>573</v>
      </c>
      <c r="R38" s="23">
        <v>668</v>
      </c>
      <c r="S38" s="23">
        <v>912</v>
      </c>
      <c r="T38" s="23">
        <v>1420</v>
      </c>
      <c r="U38" s="23">
        <v>1535</v>
      </c>
      <c r="V38" s="23">
        <v>1811</v>
      </c>
      <c r="W38" s="28">
        <v>1926</v>
      </c>
    </row>
    <row r="39" spans="1:23" x14ac:dyDescent="0.25">
      <c r="A39" s="20">
        <v>32</v>
      </c>
      <c r="B39" s="27">
        <v>45149</v>
      </c>
      <c r="C39" s="23">
        <v>9991</v>
      </c>
      <c r="D39" s="23">
        <v>45</v>
      </c>
      <c r="E39" s="23">
        <v>4</v>
      </c>
      <c r="F39" s="23">
        <v>6</v>
      </c>
      <c r="G39" s="23">
        <v>7</v>
      </c>
      <c r="H39" s="23">
        <v>16</v>
      </c>
      <c r="I39" s="23">
        <v>23</v>
      </c>
      <c r="J39" s="23">
        <v>29</v>
      </c>
      <c r="K39" s="23">
        <v>53</v>
      </c>
      <c r="L39" s="23">
        <v>102</v>
      </c>
      <c r="M39" s="23">
        <v>122</v>
      </c>
      <c r="N39" s="23">
        <v>157</v>
      </c>
      <c r="O39" s="23">
        <v>282</v>
      </c>
      <c r="P39" s="23">
        <v>392</v>
      </c>
      <c r="Q39" s="23">
        <v>509</v>
      </c>
      <c r="R39" s="23">
        <v>661</v>
      </c>
      <c r="S39" s="23">
        <v>960</v>
      </c>
      <c r="T39" s="23">
        <v>1366</v>
      </c>
      <c r="U39" s="23">
        <v>1510</v>
      </c>
      <c r="V39" s="23">
        <v>1732</v>
      </c>
      <c r="W39" s="28">
        <v>2015</v>
      </c>
    </row>
    <row r="40" spans="1:23" x14ac:dyDescent="0.25">
      <c r="A40" s="20">
        <v>33</v>
      </c>
      <c r="B40" s="27">
        <v>45156</v>
      </c>
      <c r="C40" s="23">
        <v>10063</v>
      </c>
      <c r="D40" s="23">
        <v>43</v>
      </c>
      <c r="E40" s="23">
        <v>8</v>
      </c>
      <c r="F40" s="23">
        <v>5</v>
      </c>
      <c r="G40" s="23">
        <v>5</v>
      </c>
      <c r="H40" s="23">
        <v>15</v>
      </c>
      <c r="I40" s="23">
        <v>26</v>
      </c>
      <c r="J40" s="23">
        <v>38</v>
      </c>
      <c r="K40" s="23">
        <v>49</v>
      </c>
      <c r="L40" s="23">
        <v>63</v>
      </c>
      <c r="M40" s="23">
        <v>108</v>
      </c>
      <c r="N40" s="23">
        <v>159</v>
      </c>
      <c r="O40" s="23">
        <v>272</v>
      </c>
      <c r="P40" s="23">
        <v>371</v>
      </c>
      <c r="Q40" s="23">
        <v>484</v>
      </c>
      <c r="R40" s="23">
        <v>672</v>
      </c>
      <c r="S40" s="23">
        <v>984</v>
      </c>
      <c r="T40" s="23">
        <v>1402</v>
      </c>
      <c r="U40" s="23">
        <v>1570</v>
      </c>
      <c r="V40" s="23">
        <v>1767</v>
      </c>
      <c r="W40" s="28">
        <v>2022</v>
      </c>
    </row>
    <row r="41" spans="1:23" x14ac:dyDescent="0.25">
      <c r="A41" s="20">
        <v>34</v>
      </c>
      <c r="B41" s="27">
        <v>45163</v>
      </c>
      <c r="C41" s="23">
        <v>10086</v>
      </c>
      <c r="D41" s="23">
        <v>47</v>
      </c>
      <c r="E41" s="23">
        <v>10</v>
      </c>
      <c r="F41" s="23">
        <v>6</v>
      </c>
      <c r="G41" s="23">
        <v>11</v>
      </c>
      <c r="H41" s="23">
        <v>25</v>
      </c>
      <c r="I41" s="23">
        <v>22</v>
      </c>
      <c r="J41" s="23">
        <v>34</v>
      </c>
      <c r="K41" s="23">
        <v>49</v>
      </c>
      <c r="L41" s="23">
        <v>79</v>
      </c>
      <c r="M41" s="23">
        <v>109</v>
      </c>
      <c r="N41" s="23">
        <v>152</v>
      </c>
      <c r="O41" s="23">
        <v>243</v>
      </c>
      <c r="P41" s="23">
        <v>352</v>
      </c>
      <c r="Q41" s="23">
        <v>474</v>
      </c>
      <c r="R41" s="23">
        <v>692</v>
      </c>
      <c r="S41" s="23">
        <v>936</v>
      </c>
      <c r="T41" s="23">
        <v>1418</v>
      </c>
      <c r="U41" s="23">
        <v>1597</v>
      </c>
      <c r="V41" s="23">
        <v>1758</v>
      </c>
      <c r="W41" s="28">
        <v>2072</v>
      </c>
    </row>
    <row r="42" spans="1:23" x14ac:dyDescent="0.25">
      <c r="A42" s="20">
        <v>35</v>
      </c>
      <c r="B42" s="27">
        <v>45170</v>
      </c>
      <c r="C42" s="23">
        <v>8441</v>
      </c>
      <c r="D42" s="23">
        <v>38</v>
      </c>
      <c r="E42" s="23">
        <v>5</v>
      </c>
      <c r="F42" s="23">
        <v>3</v>
      </c>
      <c r="G42" s="23">
        <v>4</v>
      </c>
      <c r="H42" s="23">
        <v>11</v>
      </c>
      <c r="I42" s="23">
        <v>30</v>
      </c>
      <c r="J42" s="23">
        <v>34</v>
      </c>
      <c r="K42" s="23">
        <v>44</v>
      </c>
      <c r="L42" s="23">
        <v>58</v>
      </c>
      <c r="M42" s="23">
        <v>98</v>
      </c>
      <c r="N42" s="23">
        <v>129</v>
      </c>
      <c r="O42" s="23">
        <v>244</v>
      </c>
      <c r="P42" s="23">
        <v>317</v>
      </c>
      <c r="Q42" s="23">
        <v>410</v>
      </c>
      <c r="R42" s="23">
        <v>592</v>
      </c>
      <c r="S42" s="23">
        <v>798</v>
      </c>
      <c r="T42" s="23">
        <v>1155</v>
      </c>
      <c r="U42" s="23">
        <v>1271</v>
      </c>
      <c r="V42" s="23">
        <v>1454</v>
      </c>
      <c r="W42" s="28">
        <v>1746</v>
      </c>
    </row>
    <row r="43" spans="1:23" x14ac:dyDescent="0.25">
      <c r="A43" s="10"/>
      <c r="B43" s="10"/>
      <c r="C43" s="10"/>
      <c r="D43" s="10"/>
      <c r="E43" s="10"/>
      <c r="F43" s="10"/>
      <c r="G43" s="10"/>
      <c r="H43" s="10"/>
      <c r="I43" s="10"/>
      <c r="J43" s="10"/>
      <c r="K43" s="10"/>
      <c r="L43" s="10"/>
      <c r="M43" s="10"/>
      <c r="N43" s="10"/>
      <c r="O43" s="10"/>
      <c r="P43" s="10"/>
      <c r="Q43" s="10"/>
      <c r="R43" s="10"/>
      <c r="S43" s="10"/>
      <c r="T43" s="10"/>
      <c r="U43" s="10"/>
      <c r="V43" s="10"/>
      <c r="W43" s="10"/>
    </row>
    <row r="44" spans="1:23" ht="15.6" x14ac:dyDescent="0.3">
      <c r="A44" s="3" t="s">
        <v>153</v>
      </c>
    </row>
    <row r="45" spans="1:23" ht="15.6" x14ac:dyDescent="0.25">
      <c r="A45" s="12" t="s">
        <v>116</v>
      </c>
      <c r="B45" s="11" t="s">
        <v>131</v>
      </c>
      <c r="C45" s="21" t="s">
        <v>132</v>
      </c>
      <c r="D45" s="21" t="s">
        <v>133</v>
      </c>
      <c r="E45" s="21" t="s">
        <v>134</v>
      </c>
      <c r="F45" s="21" t="s">
        <v>135</v>
      </c>
      <c r="G45" s="21" t="s">
        <v>136</v>
      </c>
      <c r="H45" s="21" t="s">
        <v>137</v>
      </c>
      <c r="I45" s="21" t="s">
        <v>138</v>
      </c>
      <c r="J45" s="21" t="s">
        <v>139</v>
      </c>
      <c r="K45" s="21" t="s">
        <v>140</v>
      </c>
      <c r="L45" s="21" t="s">
        <v>141</v>
      </c>
      <c r="M45" s="21" t="s">
        <v>142</v>
      </c>
      <c r="N45" s="21" t="s">
        <v>143</v>
      </c>
      <c r="O45" s="21" t="s">
        <v>144</v>
      </c>
      <c r="P45" s="21" t="s">
        <v>145</v>
      </c>
      <c r="Q45" s="21" t="s">
        <v>146</v>
      </c>
      <c r="R45" s="21" t="s">
        <v>147</v>
      </c>
      <c r="S45" s="21" t="s">
        <v>148</v>
      </c>
      <c r="T45" s="21" t="s">
        <v>149</v>
      </c>
      <c r="U45" s="21" t="s">
        <v>150</v>
      </c>
      <c r="V45" s="21" t="s">
        <v>151</v>
      </c>
      <c r="W45" s="24" t="s">
        <v>152</v>
      </c>
    </row>
    <row r="46" spans="1:23" x14ac:dyDescent="0.25">
      <c r="A46" s="19">
        <v>1</v>
      </c>
      <c r="B46" s="25">
        <v>44932</v>
      </c>
      <c r="C46" s="22">
        <v>7085</v>
      </c>
      <c r="D46" s="22">
        <v>27</v>
      </c>
      <c r="E46" s="22">
        <v>2</v>
      </c>
      <c r="F46" s="22">
        <v>1</v>
      </c>
      <c r="G46" s="22">
        <v>3</v>
      </c>
      <c r="H46" s="22">
        <v>6</v>
      </c>
      <c r="I46" s="22">
        <v>18</v>
      </c>
      <c r="J46" s="22">
        <v>13</v>
      </c>
      <c r="K46" s="22">
        <v>23</v>
      </c>
      <c r="L46" s="22">
        <v>42</v>
      </c>
      <c r="M46" s="22">
        <v>59</v>
      </c>
      <c r="N46" s="22">
        <v>88</v>
      </c>
      <c r="O46" s="22">
        <v>142</v>
      </c>
      <c r="P46" s="22">
        <v>256</v>
      </c>
      <c r="Q46" s="22">
        <v>393</v>
      </c>
      <c r="R46" s="22">
        <v>449</v>
      </c>
      <c r="S46" s="22">
        <v>720</v>
      </c>
      <c r="T46" s="22">
        <v>1041</v>
      </c>
      <c r="U46" s="22">
        <v>1214</v>
      </c>
      <c r="V46" s="22">
        <v>1319</v>
      </c>
      <c r="W46" s="26">
        <v>1269</v>
      </c>
    </row>
    <row r="47" spans="1:23" x14ac:dyDescent="0.25">
      <c r="A47" s="20">
        <v>2</v>
      </c>
      <c r="B47" s="27">
        <v>44939</v>
      </c>
      <c r="C47" s="23">
        <v>8451</v>
      </c>
      <c r="D47" s="23">
        <v>32</v>
      </c>
      <c r="E47" s="23">
        <v>7</v>
      </c>
      <c r="F47" s="23">
        <v>3</v>
      </c>
      <c r="G47" s="23">
        <v>4</v>
      </c>
      <c r="H47" s="23">
        <v>10</v>
      </c>
      <c r="I47" s="23">
        <v>18</v>
      </c>
      <c r="J47" s="23">
        <v>28</v>
      </c>
      <c r="K47" s="23">
        <v>50</v>
      </c>
      <c r="L47" s="23">
        <v>49</v>
      </c>
      <c r="M47" s="23">
        <v>62</v>
      </c>
      <c r="N47" s="23">
        <v>119</v>
      </c>
      <c r="O47" s="23">
        <v>199</v>
      </c>
      <c r="P47" s="23">
        <v>291</v>
      </c>
      <c r="Q47" s="23">
        <v>419</v>
      </c>
      <c r="R47" s="23">
        <v>606</v>
      </c>
      <c r="S47" s="23">
        <v>956</v>
      </c>
      <c r="T47" s="23">
        <v>1246</v>
      </c>
      <c r="U47" s="23">
        <v>1399</v>
      </c>
      <c r="V47" s="23">
        <v>1477</v>
      </c>
      <c r="W47" s="28">
        <v>1476</v>
      </c>
    </row>
    <row r="48" spans="1:23" x14ac:dyDescent="0.25">
      <c r="A48" s="20">
        <v>3</v>
      </c>
      <c r="B48" s="27">
        <v>44946</v>
      </c>
      <c r="C48" s="23">
        <v>7784</v>
      </c>
      <c r="D48" s="23">
        <v>29</v>
      </c>
      <c r="E48" s="23">
        <v>5</v>
      </c>
      <c r="F48" s="23">
        <v>2</v>
      </c>
      <c r="G48" s="23">
        <v>6</v>
      </c>
      <c r="H48" s="23">
        <v>13</v>
      </c>
      <c r="I48" s="23">
        <v>9</v>
      </c>
      <c r="J48" s="23">
        <v>26</v>
      </c>
      <c r="K48" s="23">
        <v>51</v>
      </c>
      <c r="L48" s="23">
        <v>70</v>
      </c>
      <c r="M48" s="23">
        <v>87</v>
      </c>
      <c r="N48" s="23">
        <v>102</v>
      </c>
      <c r="O48" s="23">
        <v>188</v>
      </c>
      <c r="P48" s="23">
        <v>320</v>
      </c>
      <c r="Q48" s="23">
        <v>431</v>
      </c>
      <c r="R48" s="23">
        <v>531</v>
      </c>
      <c r="S48" s="23">
        <v>821</v>
      </c>
      <c r="T48" s="23">
        <v>1159</v>
      </c>
      <c r="U48" s="23">
        <v>1313</v>
      </c>
      <c r="V48" s="23">
        <v>1344</v>
      </c>
      <c r="W48" s="28">
        <v>1277</v>
      </c>
    </row>
    <row r="49" spans="1:23" x14ac:dyDescent="0.25">
      <c r="A49" s="20">
        <v>4</v>
      </c>
      <c r="B49" s="27">
        <v>44953</v>
      </c>
      <c r="C49" s="23">
        <v>7113</v>
      </c>
      <c r="D49" s="23">
        <v>38</v>
      </c>
      <c r="E49" s="23">
        <v>3</v>
      </c>
      <c r="F49" s="23">
        <v>3</v>
      </c>
      <c r="G49" s="23">
        <v>2</v>
      </c>
      <c r="H49" s="23">
        <v>9</v>
      </c>
      <c r="I49" s="23">
        <v>15</v>
      </c>
      <c r="J49" s="23">
        <v>23</v>
      </c>
      <c r="K49" s="23">
        <v>36</v>
      </c>
      <c r="L49" s="23">
        <v>56</v>
      </c>
      <c r="M49" s="23">
        <v>83</v>
      </c>
      <c r="N49" s="23">
        <v>105</v>
      </c>
      <c r="O49" s="23">
        <v>211</v>
      </c>
      <c r="P49" s="23">
        <v>294</v>
      </c>
      <c r="Q49" s="23">
        <v>404</v>
      </c>
      <c r="R49" s="23">
        <v>530</v>
      </c>
      <c r="S49" s="23">
        <v>764</v>
      </c>
      <c r="T49" s="23">
        <v>1010</v>
      </c>
      <c r="U49" s="23">
        <v>1182</v>
      </c>
      <c r="V49" s="23">
        <v>1212</v>
      </c>
      <c r="W49" s="28">
        <v>1133</v>
      </c>
    </row>
    <row r="50" spans="1:23" x14ac:dyDescent="0.25">
      <c r="A50" s="20">
        <v>5</v>
      </c>
      <c r="B50" s="27">
        <v>44960</v>
      </c>
      <c r="C50" s="23">
        <v>6688</v>
      </c>
      <c r="D50" s="23">
        <v>31</v>
      </c>
      <c r="E50" s="23">
        <v>7</v>
      </c>
      <c r="F50" s="23">
        <v>3</v>
      </c>
      <c r="G50" s="23">
        <v>1</v>
      </c>
      <c r="H50" s="23">
        <v>10</v>
      </c>
      <c r="I50" s="23">
        <v>17</v>
      </c>
      <c r="J50" s="23">
        <v>27</v>
      </c>
      <c r="K50" s="23">
        <v>26</v>
      </c>
      <c r="L50" s="23">
        <v>51</v>
      </c>
      <c r="M50" s="23">
        <v>87</v>
      </c>
      <c r="N50" s="23">
        <v>104</v>
      </c>
      <c r="O50" s="23">
        <v>159</v>
      </c>
      <c r="P50" s="23">
        <v>282</v>
      </c>
      <c r="Q50" s="23">
        <v>401</v>
      </c>
      <c r="R50" s="23">
        <v>508</v>
      </c>
      <c r="S50" s="23">
        <v>636</v>
      </c>
      <c r="T50" s="23">
        <v>1031</v>
      </c>
      <c r="U50" s="23">
        <v>1123</v>
      </c>
      <c r="V50" s="23">
        <v>1145</v>
      </c>
      <c r="W50" s="28">
        <v>1039</v>
      </c>
    </row>
    <row r="51" spans="1:23" x14ac:dyDescent="0.25">
      <c r="A51" s="20">
        <v>6</v>
      </c>
      <c r="B51" s="27">
        <v>44967</v>
      </c>
      <c r="C51" s="23">
        <v>6370</v>
      </c>
      <c r="D51" s="23">
        <v>22</v>
      </c>
      <c r="E51" s="23">
        <v>3</v>
      </c>
      <c r="F51" s="23">
        <v>4</v>
      </c>
      <c r="G51" s="23">
        <v>11</v>
      </c>
      <c r="H51" s="23">
        <v>12</v>
      </c>
      <c r="I51" s="23">
        <v>14</v>
      </c>
      <c r="J51" s="23">
        <v>29</v>
      </c>
      <c r="K51" s="23">
        <v>38</v>
      </c>
      <c r="L51" s="23">
        <v>63</v>
      </c>
      <c r="M51" s="23">
        <v>80</v>
      </c>
      <c r="N51" s="23">
        <v>88</v>
      </c>
      <c r="O51" s="23">
        <v>176</v>
      </c>
      <c r="P51" s="23">
        <v>277</v>
      </c>
      <c r="Q51" s="23">
        <v>372</v>
      </c>
      <c r="R51" s="23">
        <v>470</v>
      </c>
      <c r="S51" s="23">
        <v>676</v>
      </c>
      <c r="T51" s="23">
        <v>953</v>
      </c>
      <c r="U51" s="23">
        <v>998</v>
      </c>
      <c r="V51" s="23">
        <v>1061</v>
      </c>
      <c r="W51" s="28">
        <v>1023</v>
      </c>
    </row>
    <row r="52" spans="1:23" x14ac:dyDescent="0.25">
      <c r="A52" s="20">
        <v>7</v>
      </c>
      <c r="B52" s="27">
        <v>44974</v>
      </c>
      <c r="C52" s="23">
        <v>6045</v>
      </c>
      <c r="D52" s="23">
        <v>31</v>
      </c>
      <c r="E52" s="23">
        <v>3</v>
      </c>
      <c r="F52" s="23">
        <v>1</v>
      </c>
      <c r="G52" s="23">
        <v>7</v>
      </c>
      <c r="H52" s="23">
        <v>15</v>
      </c>
      <c r="I52" s="23">
        <v>10</v>
      </c>
      <c r="J52" s="23">
        <v>32</v>
      </c>
      <c r="K52" s="23">
        <v>37</v>
      </c>
      <c r="L52" s="23">
        <v>52</v>
      </c>
      <c r="M52" s="23">
        <v>81</v>
      </c>
      <c r="N52" s="23">
        <v>96</v>
      </c>
      <c r="O52" s="23">
        <v>167</v>
      </c>
      <c r="P52" s="23">
        <v>231</v>
      </c>
      <c r="Q52" s="23">
        <v>343</v>
      </c>
      <c r="R52" s="23">
        <v>487</v>
      </c>
      <c r="S52" s="23">
        <v>657</v>
      </c>
      <c r="T52" s="23">
        <v>865</v>
      </c>
      <c r="U52" s="23">
        <v>974</v>
      </c>
      <c r="V52" s="23">
        <v>1025</v>
      </c>
      <c r="W52" s="28">
        <v>931</v>
      </c>
    </row>
    <row r="53" spans="1:23" x14ac:dyDescent="0.25">
      <c r="A53" s="20">
        <v>8</v>
      </c>
      <c r="B53" s="27">
        <v>44981</v>
      </c>
      <c r="C53" s="23">
        <v>6023</v>
      </c>
      <c r="D53" s="23">
        <v>36</v>
      </c>
      <c r="E53" s="23">
        <v>9</v>
      </c>
      <c r="F53" s="23">
        <v>1</v>
      </c>
      <c r="G53" s="23">
        <v>5</v>
      </c>
      <c r="H53" s="23">
        <v>16</v>
      </c>
      <c r="I53" s="23">
        <v>13</v>
      </c>
      <c r="J53" s="23">
        <v>26</v>
      </c>
      <c r="K53" s="23">
        <v>37</v>
      </c>
      <c r="L53" s="23">
        <v>55</v>
      </c>
      <c r="M53" s="23">
        <v>96</v>
      </c>
      <c r="N53" s="23">
        <v>95</v>
      </c>
      <c r="O53" s="23">
        <v>175</v>
      </c>
      <c r="P53" s="23">
        <v>242</v>
      </c>
      <c r="Q53" s="23">
        <v>316</v>
      </c>
      <c r="R53" s="23">
        <v>447</v>
      </c>
      <c r="S53" s="23">
        <v>618</v>
      </c>
      <c r="T53" s="23">
        <v>893</v>
      </c>
      <c r="U53" s="23">
        <v>1006</v>
      </c>
      <c r="V53" s="23">
        <v>1020</v>
      </c>
      <c r="W53" s="28">
        <v>917</v>
      </c>
    </row>
    <row r="54" spans="1:23" x14ac:dyDescent="0.25">
      <c r="A54" s="20">
        <v>9</v>
      </c>
      <c r="B54" s="27">
        <v>44988</v>
      </c>
      <c r="C54" s="23">
        <v>6153</v>
      </c>
      <c r="D54" s="23">
        <v>26</v>
      </c>
      <c r="E54" s="23">
        <v>3</v>
      </c>
      <c r="F54" s="23">
        <v>1</v>
      </c>
      <c r="G54" s="23">
        <v>3</v>
      </c>
      <c r="H54" s="23">
        <v>16</v>
      </c>
      <c r="I54" s="23">
        <v>23</v>
      </c>
      <c r="J54" s="23">
        <v>26</v>
      </c>
      <c r="K54" s="23">
        <v>37</v>
      </c>
      <c r="L54" s="23">
        <v>56</v>
      </c>
      <c r="M54" s="23">
        <v>86</v>
      </c>
      <c r="N54" s="23">
        <v>87</v>
      </c>
      <c r="O54" s="23">
        <v>190</v>
      </c>
      <c r="P54" s="23">
        <v>259</v>
      </c>
      <c r="Q54" s="23">
        <v>351</v>
      </c>
      <c r="R54" s="23">
        <v>442</v>
      </c>
      <c r="S54" s="23">
        <v>623</v>
      </c>
      <c r="T54" s="23">
        <v>949</v>
      </c>
      <c r="U54" s="23">
        <v>999</v>
      </c>
      <c r="V54" s="23">
        <v>1027</v>
      </c>
      <c r="W54" s="28">
        <v>949</v>
      </c>
    </row>
    <row r="55" spans="1:23" x14ac:dyDescent="0.25">
      <c r="A55" s="20">
        <v>10</v>
      </c>
      <c r="B55" s="27">
        <v>44995</v>
      </c>
      <c r="C55" s="23">
        <v>5702</v>
      </c>
      <c r="D55" s="23">
        <v>24</v>
      </c>
      <c r="E55" s="23">
        <v>5</v>
      </c>
      <c r="F55" s="23">
        <v>4</v>
      </c>
      <c r="G55" s="23">
        <v>4</v>
      </c>
      <c r="H55" s="23">
        <v>14</v>
      </c>
      <c r="I55" s="23">
        <v>21</v>
      </c>
      <c r="J55" s="23">
        <v>20</v>
      </c>
      <c r="K55" s="23">
        <v>35</v>
      </c>
      <c r="L55" s="23">
        <v>59</v>
      </c>
      <c r="M55" s="23">
        <v>64</v>
      </c>
      <c r="N55" s="23">
        <v>99</v>
      </c>
      <c r="O55" s="23">
        <v>162</v>
      </c>
      <c r="P55" s="23">
        <v>233</v>
      </c>
      <c r="Q55" s="23">
        <v>297</v>
      </c>
      <c r="R55" s="23">
        <v>404</v>
      </c>
      <c r="S55" s="23">
        <v>601</v>
      </c>
      <c r="T55" s="23">
        <v>864</v>
      </c>
      <c r="U55" s="23">
        <v>891</v>
      </c>
      <c r="V55" s="23">
        <v>999</v>
      </c>
      <c r="W55" s="28">
        <v>902</v>
      </c>
    </row>
    <row r="56" spans="1:23" x14ac:dyDescent="0.25">
      <c r="A56" s="20">
        <v>11</v>
      </c>
      <c r="B56" s="27">
        <v>45002</v>
      </c>
      <c r="C56" s="23">
        <v>6226</v>
      </c>
      <c r="D56" s="23">
        <v>30</v>
      </c>
      <c r="E56" s="23">
        <v>3</v>
      </c>
      <c r="F56" s="23">
        <v>5</v>
      </c>
      <c r="G56" s="23">
        <v>5</v>
      </c>
      <c r="H56" s="23">
        <v>16</v>
      </c>
      <c r="I56" s="23">
        <v>30</v>
      </c>
      <c r="J56" s="23">
        <v>25</v>
      </c>
      <c r="K56" s="23">
        <v>43</v>
      </c>
      <c r="L56" s="23">
        <v>65</v>
      </c>
      <c r="M56" s="23">
        <v>65</v>
      </c>
      <c r="N56" s="23">
        <v>103</v>
      </c>
      <c r="O56" s="23">
        <v>192</v>
      </c>
      <c r="P56" s="23">
        <v>241</v>
      </c>
      <c r="Q56" s="23">
        <v>321</v>
      </c>
      <c r="R56" s="23">
        <v>448</v>
      </c>
      <c r="S56" s="23">
        <v>675</v>
      </c>
      <c r="T56" s="23">
        <v>922</v>
      </c>
      <c r="U56" s="23">
        <v>1017</v>
      </c>
      <c r="V56" s="23">
        <v>1036</v>
      </c>
      <c r="W56" s="28">
        <v>984</v>
      </c>
    </row>
    <row r="57" spans="1:23" x14ac:dyDescent="0.25">
      <c r="A57" s="20">
        <v>12</v>
      </c>
      <c r="B57" s="27">
        <v>45009</v>
      </c>
      <c r="C57" s="23">
        <v>6108</v>
      </c>
      <c r="D57" s="23">
        <v>21</v>
      </c>
      <c r="E57" s="23">
        <v>4</v>
      </c>
      <c r="F57" s="23">
        <v>4</v>
      </c>
      <c r="G57" s="23">
        <v>1</v>
      </c>
      <c r="H57" s="23">
        <v>15</v>
      </c>
      <c r="I57" s="23">
        <v>18</v>
      </c>
      <c r="J57" s="23">
        <v>17</v>
      </c>
      <c r="K57" s="23">
        <v>42</v>
      </c>
      <c r="L57" s="23">
        <v>48</v>
      </c>
      <c r="M57" s="23">
        <v>74</v>
      </c>
      <c r="N57" s="23">
        <v>115</v>
      </c>
      <c r="O57" s="23">
        <v>170</v>
      </c>
      <c r="P57" s="23">
        <v>258</v>
      </c>
      <c r="Q57" s="23">
        <v>321</v>
      </c>
      <c r="R57" s="23">
        <v>450</v>
      </c>
      <c r="S57" s="23">
        <v>612</v>
      </c>
      <c r="T57" s="23">
        <v>916</v>
      </c>
      <c r="U57" s="23">
        <v>1031</v>
      </c>
      <c r="V57" s="23">
        <v>1015</v>
      </c>
      <c r="W57" s="28">
        <v>976</v>
      </c>
    </row>
    <row r="58" spans="1:23" x14ac:dyDescent="0.25">
      <c r="A58" s="20">
        <v>13</v>
      </c>
      <c r="B58" s="27">
        <v>45016</v>
      </c>
      <c r="C58" s="23">
        <v>5822</v>
      </c>
      <c r="D58" s="23">
        <v>23</v>
      </c>
      <c r="E58" s="23">
        <v>5</v>
      </c>
      <c r="F58" s="23">
        <v>1</v>
      </c>
      <c r="G58" s="23">
        <v>8</v>
      </c>
      <c r="H58" s="23">
        <v>12</v>
      </c>
      <c r="I58" s="23">
        <v>11</v>
      </c>
      <c r="J58" s="23">
        <v>28</v>
      </c>
      <c r="K58" s="23">
        <v>31</v>
      </c>
      <c r="L58" s="23">
        <v>51</v>
      </c>
      <c r="M58" s="23">
        <v>70</v>
      </c>
      <c r="N58" s="23">
        <v>103</v>
      </c>
      <c r="O58" s="23">
        <v>158</v>
      </c>
      <c r="P58" s="23">
        <v>238</v>
      </c>
      <c r="Q58" s="23">
        <v>350</v>
      </c>
      <c r="R58" s="23">
        <v>446</v>
      </c>
      <c r="S58" s="23">
        <v>595</v>
      </c>
      <c r="T58" s="23">
        <v>887</v>
      </c>
      <c r="U58" s="23">
        <v>917</v>
      </c>
      <c r="V58" s="23">
        <v>1008</v>
      </c>
      <c r="W58" s="28">
        <v>880</v>
      </c>
    </row>
    <row r="59" spans="1:23" x14ac:dyDescent="0.25">
      <c r="A59" s="20">
        <v>14</v>
      </c>
      <c r="B59" s="27">
        <v>45023</v>
      </c>
      <c r="C59" s="23">
        <v>5209</v>
      </c>
      <c r="D59" s="23">
        <v>29</v>
      </c>
      <c r="E59" s="23">
        <v>3</v>
      </c>
      <c r="F59" s="23">
        <v>3</v>
      </c>
      <c r="G59" s="23">
        <v>4</v>
      </c>
      <c r="H59" s="23">
        <v>7</v>
      </c>
      <c r="I59" s="23">
        <v>15</v>
      </c>
      <c r="J59" s="23">
        <v>19</v>
      </c>
      <c r="K59" s="23">
        <v>40</v>
      </c>
      <c r="L59" s="23">
        <v>45</v>
      </c>
      <c r="M59" s="23">
        <v>54</v>
      </c>
      <c r="N59" s="23">
        <v>84</v>
      </c>
      <c r="O59" s="23">
        <v>133</v>
      </c>
      <c r="P59" s="23">
        <v>201</v>
      </c>
      <c r="Q59" s="23">
        <v>281</v>
      </c>
      <c r="R59" s="23">
        <v>413</v>
      </c>
      <c r="S59" s="23">
        <v>513</v>
      </c>
      <c r="T59" s="23">
        <v>784</v>
      </c>
      <c r="U59" s="23">
        <v>844</v>
      </c>
      <c r="V59" s="23">
        <v>945</v>
      </c>
      <c r="W59" s="28">
        <v>792</v>
      </c>
    </row>
    <row r="60" spans="1:23" x14ac:dyDescent="0.25">
      <c r="A60" s="20">
        <v>15</v>
      </c>
      <c r="B60" s="27">
        <v>45030</v>
      </c>
      <c r="C60" s="23">
        <v>5104</v>
      </c>
      <c r="D60" s="23">
        <v>22</v>
      </c>
      <c r="E60" s="23">
        <v>8</v>
      </c>
      <c r="F60" s="23">
        <v>4</v>
      </c>
      <c r="G60" s="23">
        <v>3</v>
      </c>
      <c r="H60" s="23">
        <v>12</v>
      </c>
      <c r="I60" s="23">
        <v>15</v>
      </c>
      <c r="J60" s="23">
        <v>21</v>
      </c>
      <c r="K60" s="23">
        <v>24</v>
      </c>
      <c r="L60" s="23">
        <v>45</v>
      </c>
      <c r="M60" s="23">
        <v>66</v>
      </c>
      <c r="N60" s="23">
        <v>80</v>
      </c>
      <c r="O60" s="23">
        <v>151</v>
      </c>
      <c r="P60" s="23">
        <v>232</v>
      </c>
      <c r="Q60" s="23">
        <v>288</v>
      </c>
      <c r="R60" s="23">
        <v>387</v>
      </c>
      <c r="S60" s="23">
        <v>535</v>
      </c>
      <c r="T60" s="23">
        <v>749</v>
      </c>
      <c r="U60" s="23">
        <v>821</v>
      </c>
      <c r="V60" s="23">
        <v>839</v>
      </c>
      <c r="W60" s="28">
        <v>802</v>
      </c>
    </row>
    <row r="61" spans="1:23" x14ac:dyDescent="0.25">
      <c r="A61" s="20">
        <v>16</v>
      </c>
      <c r="B61" s="27">
        <v>45037</v>
      </c>
      <c r="C61" s="23">
        <v>6339</v>
      </c>
      <c r="D61" s="23">
        <v>31</v>
      </c>
      <c r="E61" s="23">
        <v>3</v>
      </c>
      <c r="F61" s="23">
        <v>2</v>
      </c>
      <c r="G61" s="23">
        <v>1</v>
      </c>
      <c r="H61" s="23">
        <v>16</v>
      </c>
      <c r="I61" s="23">
        <v>15</v>
      </c>
      <c r="J61" s="23">
        <v>24</v>
      </c>
      <c r="K61" s="23">
        <v>44</v>
      </c>
      <c r="L61" s="23">
        <v>41</v>
      </c>
      <c r="M61" s="23">
        <v>58</v>
      </c>
      <c r="N61" s="23">
        <v>96</v>
      </c>
      <c r="O61" s="23">
        <v>187</v>
      </c>
      <c r="P61" s="23">
        <v>249</v>
      </c>
      <c r="Q61" s="23">
        <v>358</v>
      </c>
      <c r="R61" s="23">
        <v>456</v>
      </c>
      <c r="S61" s="23">
        <v>639</v>
      </c>
      <c r="T61" s="23">
        <v>978</v>
      </c>
      <c r="U61" s="23">
        <v>1080</v>
      </c>
      <c r="V61" s="23">
        <v>1036</v>
      </c>
      <c r="W61" s="28">
        <v>1025</v>
      </c>
    </row>
    <row r="62" spans="1:23" x14ac:dyDescent="0.25">
      <c r="A62" s="20">
        <v>17</v>
      </c>
      <c r="B62" s="27">
        <v>45044</v>
      </c>
      <c r="C62" s="23">
        <v>6166</v>
      </c>
      <c r="D62" s="23">
        <v>35</v>
      </c>
      <c r="E62" s="23">
        <v>4</v>
      </c>
      <c r="F62" s="23">
        <v>3</v>
      </c>
      <c r="G62" s="23">
        <v>4</v>
      </c>
      <c r="H62" s="23">
        <v>17</v>
      </c>
      <c r="I62" s="23">
        <v>19</v>
      </c>
      <c r="J62" s="23">
        <v>19</v>
      </c>
      <c r="K62" s="23">
        <v>45</v>
      </c>
      <c r="L62" s="23">
        <v>61</v>
      </c>
      <c r="M62" s="23">
        <v>83</v>
      </c>
      <c r="N62" s="23">
        <v>111</v>
      </c>
      <c r="O62" s="23">
        <v>172</v>
      </c>
      <c r="P62" s="23">
        <v>267</v>
      </c>
      <c r="Q62" s="23">
        <v>393</v>
      </c>
      <c r="R62" s="23">
        <v>488</v>
      </c>
      <c r="S62" s="23">
        <v>636</v>
      </c>
      <c r="T62" s="23">
        <v>950</v>
      </c>
      <c r="U62" s="23">
        <v>936</v>
      </c>
      <c r="V62" s="23">
        <v>1016</v>
      </c>
      <c r="W62" s="28">
        <v>907</v>
      </c>
    </row>
    <row r="63" spans="1:23" x14ac:dyDescent="0.25">
      <c r="A63" s="20">
        <v>18</v>
      </c>
      <c r="B63" s="27">
        <v>45051</v>
      </c>
      <c r="C63" s="23">
        <v>5087</v>
      </c>
      <c r="D63" s="23">
        <v>22</v>
      </c>
      <c r="E63" s="23">
        <v>2</v>
      </c>
      <c r="F63" s="23">
        <v>3</v>
      </c>
      <c r="G63" s="23">
        <v>5</v>
      </c>
      <c r="H63" s="23">
        <v>17</v>
      </c>
      <c r="I63" s="23">
        <v>10</v>
      </c>
      <c r="J63" s="23">
        <v>26</v>
      </c>
      <c r="K63" s="23">
        <v>34</v>
      </c>
      <c r="L63" s="23">
        <v>43</v>
      </c>
      <c r="M63" s="23">
        <v>53</v>
      </c>
      <c r="N63" s="23">
        <v>109</v>
      </c>
      <c r="O63" s="23">
        <v>140</v>
      </c>
      <c r="P63" s="23">
        <v>245</v>
      </c>
      <c r="Q63" s="23">
        <v>282</v>
      </c>
      <c r="R63" s="23">
        <v>394</v>
      </c>
      <c r="S63" s="23">
        <v>496</v>
      </c>
      <c r="T63" s="23">
        <v>760</v>
      </c>
      <c r="U63" s="23">
        <v>836</v>
      </c>
      <c r="V63" s="23">
        <v>807</v>
      </c>
      <c r="W63" s="28">
        <v>803</v>
      </c>
    </row>
    <row r="64" spans="1:23" x14ac:dyDescent="0.25">
      <c r="A64" s="20">
        <v>19</v>
      </c>
      <c r="B64" s="27">
        <v>45058</v>
      </c>
      <c r="C64" s="23">
        <v>5320</v>
      </c>
      <c r="D64" s="23">
        <v>22</v>
      </c>
      <c r="E64" s="23">
        <v>5</v>
      </c>
      <c r="F64" s="23">
        <v>2</v>
      </c>
      <c r="G64" s="23">
        <v>4</v>
      </c>
      <c r="H64" s="23">
        <v>15</v>
      </c>
      <c r="I64" s="23">
        <v>15</v>
      </c>
      <c r="J64" s="23">
        <v>20</v>
      </c>
      <c r="K64" s="23">
        <v>34</v>
      </c>
      <c r="L64" s="23">
        <v>48</v>
      </c>
      <c r="M64" s="23">
        <v>73</v>
      </c>
      <c r="N64" s="23">
        <v>108</v>
      </c>
      <c r="O64" s="23">
        <v>162</v>
      </c>
      <c r="P64" s="23">
        <v>215</v>
      </c>
      <c r="Q64" s="23">
        <v>304</v>
      </c>
      <c r="R64" s="23">
        <v>404</v>
      </c>
      <c r="S64" s="23">
        <v>577</v>
      </c>
      <c r="T64" s="23">
        <v>826</v>
      </c>
      <c r="U64" s="23">
        <v>815</v>
      </c>
      <c r="V64" s="23">
        <v>868</v>
      </c>
      <c r="W64" s="28">
        <v>803</v>
      </c>
    </row>
    <row r="65" spans="1:23" x14ac:dyDescent="0.25">
      <c r="A65" s="20">
        <v>20</v>
      </c>
      <c r="B65" s="27">
        <v>45065</v>
      </c>
      <c r="C65" s="23">
        <v>5997</v>
      </c>
      <c r="D65" s="23">
        <v>38</v>
      </c>
      <c r="E65" s="23">
        <v>3</v>
      </c>
      <c r="F65" s="23">
        <v>3</v>
      </c>
      <c r="G65" s="23">
        <v>6</v>
      </c>
      <c r="H65" s="23">
        <v>23</v>
      </c>
      <c r="I65" s="23">
        <v>19</v>
      </c>
      <c r="J65" s="23">
        <v>22</v>
      </c>
      <c r="K65" s="23">
        <v>33</v>
      </c>
      <c r="L65" s="23">
        <v>65</v>
      </c>
      <c r="M65" s="23">
        <v>60</v>
      </c>
      <c r="N65" s="23">
        <v>111</v>
      </c>
      <c r="O65" s="23">
        <v>184</v>
      </c>
      <c r="P65" s="23">
        <v>226</v>
      </c>
      <c r="Q65" s="23">
        <v>338</v>
      </c>
      <c r="R65" s="23">
        <v>455</v>
      </c>
      <c r="S65" s="23">
        <v>673</v>
      </c>
      <c r="T65" s="23">
        <v>887</v>
      </c>
      <c r="U65" s="23">
        <v>1006</v>
      </c>
      <c r="V65" s="23">
        <v>948</v>
      </c>
      <c r="W65" s="28">
        <v>897</v>
      </c>
    </row>
    <row r="66" spans="1:23" x14ac:dyDescent="0.25">
      <c r="A66" s="20">
        <v>21</v>
      </c>
      <c r="B66" s="27">
        <v>45072</v>
      </c>
      <c r="C66" s="23">
        <v>5837</v>
      </c>
      <c r="D66" s="23">
        <v>35</v>
      </c>
      <c r="E66" s="23">
        <v>3</v>
      </c>
      <c r="F66" s="23">
        <v>2</v>
      </c>
      <c r="G66" s="23">
        <v>4</v>
      </c>
      <c r="H66" s="23">
        <v>13</v>
      </c>
      <c r="I66" s="23">
        <v>27</v>
      </c>
      <c r="J66" s="23">
        <v>27</v>
      </c>
      <c r="K66" s="23">
        <v>32</v>
      </c>
      <c r="L66" s="23">
        <v>63</v>
      </c>
      <c r="M66" s="23">
        <v>72</v>
      </c>
      <c r="N66" s="23">
        <v>103</v>
      </c>
      <c r="O66" s="23">
        <v>158</v>
      </c>
      <c r="P66" s="23">
        <v>269</v>
      </c>
      <c r="Q66" s="23">
        <v>363</v>
      </c>
      <c r="R66" s="23">
        <v>433</v>
      </c>
      <c r="S66" s="23">
        <v>612</v>
      </c>
      <c r="T66" s="23">
        <v>911</v>
      </c>
      <c r="U66" s="23">
        <v>948</v>
      </c>
      <c r="V66" s="23">
        <v>886</v>
      </c>
      <c r="W66" s="28">
        <v>876</v>
      </c>
    </row>
    <row r="67" spans="1:23" x14ac:dyDescent="0.25">
      <c r="A67" s="20">
        <v>22</v>
      </c>
      <c r="B67" s="27">
        <v>45079</v>
      </c>
      <c r="C67" s="23">
        <v>4526</v>
      </c>
      <c r="D67" s="23">
        <v>26</v>
      </c>
      <c r="E67" s="23">
        <v>4</v>
      </c>
      <c r="F67" s="23">
        <v>2</v>
      </c>
      <c r="G67" s="23">
        <v>2</v>
      </c>
      <c r="H67" s="23">
        <v>14</v>
      </c>
      <c r="I67" s="23">
        <v>12</v>
      </c>
      <c r="J67" s="23">
        <v>19</v>
      </c>
      <c r="K67" s="23">
        <v>32</v>
      </c>
      <c r="L67" s="23">
        <v>48</v>
      </c>
      <c r="M67" s="23">
        <v>45</v>
      </c>
      <c r="N67" s="23">
        <v>68</v>
      </c>
      <c r="O67" s="23">
        <v>132</v>
      </c>
      <c r="P67" s="23">
        <v>224</v>
      </c>
      <c r="Q67" s="23">
        <v>247</v>
      </c>
      <c r="R67" s="23">
        <v>335</v>
      </c>
      <c r="S67" s="23">
        <v>486</v>
      </c>
      <c r="T67" s="23">
        <v>703</v>
      </c>
      <c r="U67" s="23">
        <v>705</v>
      </c>
      <c r="V67" s="23">
        <v>787</v>
      </c>
      <c r="W67" s="28">
        <v>635</v>
      </c>
    </row>
    <row r="68" spans="1:23" x14ac:dyDescent="0.25">
      <c r="A68" s="20">
        <v>23</v>
      </c>
      <c r="B68" s="27">
        <v>45086</v>
      </c>
      <c r="C68" s="23">
        <v>5639</v>
      </c>
      <c r="D68" s="23">
        <v>29</v>
      </c>
      <c r="E68" s="23">
        <v>3</v>
      </c>
      <c r="F68" s="23">
        <v>1</v>
      </c>
      <c r="G68" s="23">
        <v>2</v>
      </c>
      <c r="H68" s="23">
        <v>18</v>
      </c>
      <c r="I68" s="23">
        <v>19</v>
      </c>
      <c r="J68" s="23">
        <v>20</v>
      </c>
      <c r="K68" s="23">
        <v>32</v>
      </c>
      <c r="L68" s="23">
        <v>56</v>
      </c>
      <c r="M68" s="23">
        <v>68</v>
      </c>
      <c r="N68" s="23">
        <v>99</v>
      </c>
      <c r="O68" s="23">
        <v>167</v>
      </c>
      <c r="P68" s="23">
        <v>247</v>
      </c>
      <c r="Q68" s="23">
        <v>337</v>
      </c>
      <c r="R68" s="23">
        <v>393</v>
      </c>
      <c r="S68" s="23">
        <v>635</v>
      </c>
      <c r="T68" s="23">
        <v>884</v>
      </c>
      <c r="U68" s="23">
        <v>889</v>
      </c>
      <c r="V68" s="23">
        <v>931</v>
      </c>
      <c r="W68" s="28">
        <v>809</v>
      </c>
    </row>
    <row r="69" spans="1:23" x14ac:dyDescent="0.25">
      <c r="A69" s="20">
        <v>24</v>
      </c>
      <c r="B69" s="27">
        <v>45093</v>
      </c>
      <c r="C69" s="23">
        <v>5543</v>
      </c>
      <c r="D69" s="23">
        <v>33</v>
      </c>
      <c r="E69" s="23">
        <v>3</v>
      </c>
      <c r="F69" s="23">
        <v>2</v>
      </c>
      <c r="G69" s="23">
        <v>4</v>
      </c>
      <c r="H69" s="23">
        <v>14</v>
      </c>
      <c r="I69" s="23">
        <v>17</v>
      </c>
      <c r="J69" s="23">
        <v>24</v>
      </c>
      <c r="K69" s="23">
        <v>31</v>
      </c>
      <c r="L69" s="23">
        <v>46</v>
      </c>
      <c r="M69" s="23">
        <v>62</v>
      </c>
      <c r="N69" s="23">
        <v>106</v>
      </c>
      <c r="O69" s="23">
        <v>139</v>
      </c>
      <c r="P69" s="23">
        <v>231</v>
      </c>
      <c r="Q69" s="23">
        <v>351</v>
      </c>
      <c r="R69" s="23">
        <v>414</v>
      </c>
      <c r="S69" s="23">
        <v>604</v>
      </c>
      <c r="T69" s="23">
        <v>861</v>
      </c>
      <c r="U69" s="23">
        <v>860</v>
      </c>
      <c r="V69" s="23">
        <v>914</v>
      </c>
      <c r="W69" s="28">
        <v>827</v>
      </c>
    </row>
    <row r="70" spans="1:23" x14ac:dyDescent="0.25">
      <c r="A70" s="20">
        <v>25</v>
      </c>
      <c r="B70" s="27">
        <v>45100</v>
      </c>
      <c r="C70" s="23">
        <v>5433</v>
      </c>
      <c r="D70" s="23">
        <v>22</v>
      </c>
      <c r="E70" s="23">
        <v>2</v>
      </c>
      <c r="F70" s="23">
        <v>3</v>
      </c>
      <c r="G70" s="23">
        <v>3</v>
      </c>
      <c r="H70" s="23">
        <v>9</v>
      </c>
      <c r="I70" s="23">
        <v>21</v>
      </c>
      <c r="J70" s="23">
        <v>24</v>
      </c>
      <c r="K70" s="23">
        <v>44</v>
      </c>
      <c r="L70" s="23">
        <v>61</v>
      </c>
      <c r="M70" s="23">
        <v>78</v>
      </c>
      <c r="N70" s="23">
        <v>105</v>
      </c>
      <c r="O70" s="23">
        <v>152</v>
      </c>
      <c r="P70" s="23">
        <v>250</v>
      </c>
      <c r="Q70" s="23">
        <v>340</v>
      </c>
      <c r="R70" s="23">
        <v>392</v>
      </c>
      <c r="S70" s="23">
        <v>591</v>
      </c>
      <c r="T70" s="23">
        <v>789</v>
      </c>
      <c r="U70" s="23">
        <v>858</v>
      </c>
      <c r="V70" s="23">
        <v>915</v>
      </c>
      <c r="W70" s="28">
        <v>774</v>
      </c>
    </row>
    <row r="71" spans="1:23" x14ac:dyDescent="0.25">
      <c r="A71" s="20">
        <v>26</v>
      </c>
      <c r="B71" s="27">
        <v>45107</v>
      </c>
      <c r="C71" s="23">
        <v>5340</v>
      </c>
      <c r="D71" s="23">
        <v>22</v>
      </c>
      <c r="E71" s="23">
        <v>6</v>
      </c>
      <c r="F71" s="23">
        <v>3</v>
      </c>
      <c r="G71" s="23">
        <v>7</v>
      </c>
      <c r="H71" s="23">
        <v>11</v>
      </c>
      <c r="I71" s="23">
        <v>18</v>
      </c>
      <c r="J71" s="23">
        <v>25</v>
      </c>
      <c r="K71" s="23">
        <v>36</v>
      </c>
      <c r="L71" s="23">
        <v>46</v>
      </c>
      <c r="M71" s="23">
        <v>75</v>
      </c>
      <c r="N71" s="23">
        <v>98</v>
      </c>
      <c r="O71" s="23">
        <v>161</v>
      </c>
      <c r="P71" s="23">
        <v>232</v>
      </c>
      <c r="Q71" s="23">
        <v>302</v>
      </c>
      <c r="R71" s="23">
        <v>407</v>
      </c>
      <c r="S71" s="23">
        <v>581</v>
      </c>
      <c r="T71" s="23">
        <v>856</v>
      </c>
      <c r="U71" s="23">
        <v>870</v>
      </c>
      <c r="V71" s="23">
        <v>816</v>
      </c>
      <c r="W71" s="28">
        <v>768</v>
      </c>
    </row>
    <row r="72" spans="1:23" x14ac:dyDescent="0.25">
      <c r="A72" s="20">
        <v>27</v>
      </c>
      <c r="B72" s="27">
        <v>45114</v>
      </c>
      <c r="C72" s="23">
        <v>4986</v>
      </c>
      <c r="D72" s="23">
        <v>22</v>
      </c>
      <c r="E72" s="23">
        <v>4</v>
      </c>
      <c r="F72" s="23">
        <v>2</v>
      </c>
      <c r="G72" s="23">
        <v>7</v>
      </c>
      <c r="H72" s="23">
        <v>10</v>
      </c>
      <c r="I72" s="23">
        <v>15</v>
      </c>
      <c r="J72" s="23">
        <v>20</v>
      </c>
      <c r="K72" s="23">
        <v>34</v>
      </c>
      <c r="L72" s="23">
        <v>47</v>
      </c>
      <c r="M72" s="23">
        <v>75</v>
      </c>
      <c r="N72" s="23">
        <v>78</v>
      </c>
      <c r="O72" s="23">
        <v>145</v>
      </c>
      <c r="P72" s="23">
        <v>224</v>
      </c>
      <c r="Q72" s="23">
        <v>298</v>
      </c>
      <c r="R72" s="23">
        <v>365</v>
      </c>
      <c r="S72" s="23">
        <v>536</v>
      </c>
      <c r="T72" s="23">
        <v>805</v>
      </c>
      <c r="U72" s="23">
        <v>802</v>
      </c>
      <c r="V72" s="23">
        <v>803</v>
      </c>
      <c r="W72" s="28">
        <v>694</v>
      </c>
    </row>
    <row r="73" spans="1:23" x14ac:dyDescent="0.25">
      <c r="A73" s="20">
        <v>28</v>
      </c>
      <c r="B73" s="27">
        <v>45121</v>
      </c>
      <c r="C73" s="23">
        <v>5165</v>
      </c>
      <c r="D73" s="23">
        <v>26</v>
      </c>
      <c r="E73" s="23">
        <v>5</v>
      </c>
      <c r="F73" s="23">
        <v>4</v>
      </c>
      <c r="G73" s="23">
        <v>5</v>
      </c>
      <c r="H73" s="23">
        <v>21</v>
      </c>
      <c r="I73" s="23">
        <v>18</v>
      </c>
      <c r="J73" s="23">
        <v>38</v>
      </c>
      <c r="K73" s="23">
        <v>43</v>
      </c>
      <c r="L73" s="23">
        <v>35</v>
      </c>
      <c r="M73" s="23">
        <v>78</v>
      </c>
      <c r="N73" s="23">
        <v>86</v>
      </c>
      <c r="O73" s="23">
        <v>166</v>
      </c>
      <c r="P73" s="23">
        <v>218</v>
      </c>
      <c r="Q73" s="23">
        <v>321</v>
      </c>
      <c r="R73" s="23">
        <v>437</v>
      </c>
      <c r="S73" s="23">
        <v>559</v>
      </c>
      <c r="T73" s="23">
        <v>761</v>
      </c>
      <c r="U73" s="23">
        <v>780</v>
      </c>
      <c r="V73" s="23">
        <v>800</v>
      </c>
      <c r="W73" s="28">
        <v>764</v>
      </c>
    </row>
    <row r="74" spans="1:23" x14ac:dyDescent="0.25">
      <c r="A74" s="20">
        <v>29</v>
      </c>
      <c r="B74" s="27">
        <v>45128</v>
      </c>
      <c r="C74" s="23">
        <v>4965</v>
      </c>
      <c r="D74" s="23">
        <v>27</v>
      </c>
      <c r="E74" s="23">
        <v>3</v>
      </c>
      <c r="F74" s="23">
        <v>2</v>
      </c>
      <c r="G74" s="23">
        <v>4</v>
      </c>
      <c r="H74" s="23">
        <v>10</v>
      </c>
      <c r="I74" s="23">
        <v>23</v>
      </c>
      <c r="J74" s="23">
        <v>15</v>
      </c>
      <c r="K74" s="23">
        <v>25</v>
      </c>
      <c r="L74" s="23">
        <v>46</v>
      </c>
      <c r="M74" s="23">
        <v>62</v>
      </c>
      <c r="N74" s="23">
        <v>102</v>
      </c>
      <c r="O74" s="23">
        <v>143</v>
      </c>
      <c r="P74" s="23">
        <v>232</v>
      </c>
      <c r="Q74" s="23">
        <v>311</v>
      </c>
      <c r="R74" s="23">
        <v>364</v>
      </c>
      <c r="S74" s="23">
        <v>534</v>
      </c>
      <c r="T74" s="23">
        <v>747</v>
      </c>
      <c r="U74" s="23">
        <v>806</v>
      </c>
      <c r="V74" s="23">
        <v>772</v>
      </c>
      <c r="W74" s="28">
        <v>737</v>
      </c>
    </row>
    <row r="75" spans="1:23" x14ac:dyDescent="0.25">
      <c r="A75" s="20">
        <v>30</v>
      </c>
      <c r="B75" s="27">
        <v>45135</v>
      </c>
      <c r="C75" s="23">
        <v>5099</v>
      </c>
      <c r="D75" s="23">
        <v>36</v>
      </c>
      <c r="E75" s="23">
        <v>2</v>
      </c>
      <c r="F75" s="23">
        <v>2</v>
      </c>
      <c r="G75" s="23">
        <v>5</v>
      </c>
      <c r="H75" s="23">
        <v>10</v>
      </c>
      <c r="I75" s="23">
        <v>23</v>
      </c>
      <c r="J75" s="23">
        <v>23</v>
      </c>
      <c r="K75" s="23">
        <v>37</v>
      </c>
      <c r="L75" s="23">
        <v>55</v>
      </c>
      <c r="M75" s="23">
        <v>85</v>
      </c>
      <c r="N75" s="23">
        <v>76</v>
      </c>
      <c r="O75" s="23">
        <v>160</v>
      </c>
      <c r="P75" s="23">
        <v>220</v>
      </c>
      <c r="Q75" s="23">
        <v>280</v>
      </c>
      <c r="R75" s="23">
        <v>388</v>
      </c>
      <c r="S75" s="23">
        <v>573</v>
      </c>
      <c r="T75" s="23">
        <v>763</v>
      </c>
      <c r="U75" s="23">
        <v>787</v>
      </c>
      <c r="V75" s="23">
        <v>847</v>
      </c>
      <c r="W75" s="28">
        <v>727</v>
      </c>
    </row>
    <row r="76" spans="1:23" x14ac:dyDescent="0.25">
      <c r="A76" s="20">
        <v>31</v>
      </c>
      <c r="B76" s="27">
        <v>45142</v>
      </c>
      <c r="C76" s="23">
        <v>5118</v>
      </c>
      <c r="D76" s="23">
        <v>22</v>
      </c>
      <c r="E76" s="23">
        <v>8</v>
      </c>
      <c r="F76" s="23">
        <v>2</v>
      </c>
      <c r="G76" s="23">
        <v>2</v>
      </c>
      <c r="H76" s="23">
        <v>12</v>
      </c>
      <c r="I76" s="23">
        <v>17</v>
      </c>
      <c r="J76" s="23">
        <v>23</v>
      </c>
      <c r="K76" s="23">
        <v>32</v>
      </c>
      <c r="L76" s="23">
        <v>47</v>
      </c>
      <c r="M76" s="23">
        <v>70</v>
      </c>
      <c r="N76" s="23">
        <v>98</v>
      </c>
      <c r="O76" s="23">
        <v>167</v>
      </c>
      <c r="P76" s="23">
        <v>226</v>
      </c>
      <c r="Q76" s="23">
        <v>309</v>
      </c>
      <c r="R76" s="23">
        <v>377</v>
      </c>
      <c r="S76" s="23">
        <v>530</v>
      </c>
      <c r="T76" s="23">
        <v>774</v>
      </c>
      <c r="U76" s="23">
        <v>813</v>
      </c>
      <c r="V76" s="23">
        <v>873</v>
      </c>
      <c r="W76" s="28">
        <v>716</v>
      </c>
    </row>
    <row r="77" spans="1:23" x14ac:dyDescent="0.25">
      <c r="A77" s="20">
        <v>32</v>
      </c>
      <c r="B77" s="27">
        <v>45149</v>
      </c>
      <c r="C77" s="23">
        <v>5171</v>
      </c>
      <c r="D77" s="23">
        <v>21</v>
      </c>
      <c r="E77" s="23">
        <v>3</v>
      </c>
      <c r="F77" s="23">
        <v>6</v>
      </c>
      <c r="G77" s="23">
        <v>4</v>
      </c>
      <c r="H77" s="23">
        <v>8</v>
      </c>
      <c r="I77" s="23">
        <v>20</v>
      </c>
      <c r="J77" s="23">
        <v>19</v>
      </c>
      <c r="K77" s="23">
        <v>37</v>
      </c>
      <c r="L77" s="23">
        <v>56</v>
      </c>
      <c r="M77" s="23">
        <v>78</v>
      </c>
      <c r="N77" s="23">
        <v>94</v>
      </c>
      <c r="O77" s="23">
        <v>163</v>
      </c>
      <c r="P77" s="23">
        <v>228</v>
      </c>
      <c r="Q77" s="23">
        <v>311</v>
      </c>
      <c r="R77" s="23">
        <v>387</v>
      </c>
      <c r="S77" s="23">
        <v>585</v>
      </c>
      <c r="T77" s="23">
        <v>763</v>
      </c>
      <c r="U77" s="23">
        <v>801</v>
      </c>
      <c r="V77" s="23">
        <v>836</v>
      </c>
      <c r="W77" s="28">
        <v>751</v>
      </c>
    </row>
    <row r="78" spans="1:23" x14ac:dyDescent="0.25">
      <c r="A78" s="20">
        <v>33</v>
      </c>
      <c r="B78" s="27">
        <v>45156</v>
      </c>
      <c r="C78" s="23">
        <v>5171</v>
      </c>
      <c r="D78" s="23">
        <v>19</v>
      </c>
      <c r="E78" s="23">
        <v>3</v>
      </c>
      <c r="F78" s="23">
        <v>2</v>
      </c>
      <c r="G78" s="23">
        <v>2</v>
      </c>
      <c r="H78" s="23">
        <v>9</v>
      </c>
      <c r="I78" s="23">
        <v>21</v>
      </c>
      <c r="J78" s="23">
        <v>25</v>
      </c>
      <c r="K78" s="23">
        <v>31</v>
      </c>
      <c r="L78" s="23">
        <v>46</v>
      </c>
      <c r="M78" s="23">
        <v>74</v>
      </c>
      <c r="N78" s="23">
        <v>103</v>
      </c>
      <c r="O78" s="23">
        <v>152</v>
      </c>
      <c r="P78" s="23">
        <v>223</v>
      </c>
      <c r="Q78" s="23">
        <v>283</v>
      </c>
      <c r="R78" s="23">
        <v>398</v>
      </c>
      <c r="S78" s="23">
        <v>550</v>
      </c>
      <c r="T78" s="23">
        <v>789</v>
      </c>
      <c r="U78" s="23">
        <v>836</v>
      </c>
      <c r="V78" s="23">
        <v>852</v>
      </c>
      <c r="W78" s="28">
        <v>753</v>
      </c>
    </row>
    <row r="79" spans="1:23" x14ac:dyDescent="0.25">
      <c r="A79" s="20">
        <v>34</v>
      </c>
      <c r="B79" s="27">
        <v>45163</v>
      </c>
      <c r="C79" s="23">
        <v>5154</v>
      </c>
      <c r="D79" s="23">
        <v>31</v>
      </c>
      <c r="E79" s="23">
        <v>2</v>
      </c>
      <c r="F79" s="23">
        <v>5</v>
      </c>
      <c r="G79" s="23">
        <v>7</v>
      </c>
      <c r="H79" s="23">
        <v>16</v>
      </c>
      <c r="I79" s="23">
        <v>15</v>
      </c>
      <c r="J79" s="23">
        <v>25</v>
      </c>
      <c r="K79" s="23">
        <v>37</v>
      </c>
      <c r="L79" s="23">
        <v>49</v>
      </c>
      <c r="M79" s="23">
        <v>75</v>
      </c>
      <c r="N79" s="23">
        <v>86</v>
      </c>
      <c r="O79" s="23">
        <v>160</v>
      </c>
      <c r="P79" s="23">
        <v>200</v>
      </c>
      <c r="Q79" s="23">
        <v>291</v>
      </c>
      <c r="R79" s="23">
        <v>397</v>
      </c>
      <c r="S79" s="23">
        <v>558</v>
      </c>
      <c r="T79" s="23">
        <v>775</v>
      </c>
      <c r="U79" s="23">
        <v>851</v>
      </c>
      <c r="V79" s="23">
        <v>824</v>
      </c>
      <c r="W79" s="28">
        <v>750</v>
      </c>
    </row>
    <row r="80" spans="1:23" x14ac:dyDescent="0.25">
      <c r="A80" s="20">
        <v>35</v>
      </c>
      <c r="B80" s="27">
        <v>45170</v>
      </c>
      <c r="C80" s="23">
        <v>4345</v>
      </c>
      <c r="D80" s="23">
        <v>25</v>
      </c>
      <c r="E80" s="23">
        <v>3</v>
      </c>
      <c r="F80" s="23">
        <v>0</v>
      </c>
      <c r="G80" s="23">
        <v>1</v>
      </c>
      <c r="H80" s="23">
        <v>6</v>
      </c>
      <c r="I80" s="23">
        <v>21</v>
      </c>
      <c r="J80" s="23">
        <v>21</v>
      </c>
      <c r="K80" s="23">
        <v>31</v>
      </c>
      <c r="L80" s="23">
        <v>41</v>
      </c>
      <c r="M80" s="23">
        <v>69</v>
      </c>
      <c r="N80" s="23">
        <v>77</v>
      </c>
      <c r="O80" s="23">
        <v>147</v>
      </c>
      <c r="P80" s="23">
        <v>192</v>
      </c>
      <c r="Q80" s="23">
        <v>240</v>
      </c>
      <c r="R80" s="23">
        <v>359</v>
      </c>
      <c r="S80" s="23">
        <v>464</v>
      </c>
      <c r="T80" s="23">
        <v>648</v>
      </c>
      <c r="U80" s="23">
        <v>664</v>
      </c>
      <c r="V80" s="23">
        <v>705</v>
      </c>
      <c r="W80" s="28">
        <v>631</v>
      </c>
    </row>
    <row r="81" spans="1:23" x14ac:dyDescent="0.25">
      <c r="A81" s="10"/>
      <c r="B81" s="10"/>
      <c r="C81" s="10"/>
      <c r="D81" s="10"/>
      <c r="E81" s="10"/>
      <c r="F81" s="10"/>
      <c r="G81" s="10"/>
      <c r="H81" s="10"/>
      <c r="I81" s="10"/>
      <c r="J81" s="10"/>
      <c r="K81" s="10"/>
      <c r="L81" s="10"/>
      <c r="M81" s="10"/>
      <c r="N81" s="10"/>
      <c r="O81" s="10"/>
      <c r="P81" s="10"/>
      <c r="Q81" s="10"/>
      <c r="R81" s="10"/>
      <c r="S81" s="10"/>
      <c r="T81" s="10"/>
      <c r="U81" s="10"/>
      <c r="V81" s="10"/>
      <c r="W81" s="10"/>
    </row>
    <row r="82" spans="1:23" ht="15.6" x14ac:dyDescent="0.3">
      <c r="A82" s="3" t="s">
        <v>154</v>
      </c>
    </row>
    <row r="83" spans="1:23" ht="15.6" x14ac:dyDescent="0.3">
      <c r="A83" s="30" t="s">
        <v>116</v>
      </c>
      <c r="B83" s="11" t="s">
        <v>131</v>
      </c>
      <c r="C83" s="21" t="s">
        <v>132</v>
      </c>
      <c r="D83" s="21" t="s">
        <v>133</v>
      </c>
      <c r="E83" s="21" t="s">
        <v>134</v>
      </c>
      <c r="F83" s="21" t="s">
        <v>135</v>
      </c>
      <c r="G83" s="21" t="s">
        <v>136</v>
      </c>
      <c r="H83" s="21" t="s">
        <v>137</v>
      </c>
      <c r="I83" s="21" t="s">
        <v>138</v>
      </c>
      <c r="J83" s="21" t="s">
        <v>139</v>
      </c>
      <c r="K83" s="21" t="s">
        <v>140</v>
      </c>
      <c r="L83" s="21" t="s">
        <v>141</v>
      </c>
      <c r="M83" s="21" t="s">
        <v>142</v>
      </c>
      <c r="N83" s="21" t="s">
        <v>143</v>
      </c>
      <c r="O83" s="21" t="s">
        <v>144</v>
      </c>
      <c r="P83" s="21" t="s">
        <v>145</v>
      </c>
      <c r="Q83" s="21" t="s">
        <v>146</v>
      </c>
      <c r="R83" s="21" t="s">
        <v>147</v>
      </c>
      <c r="S83" s="21" t="s">
        <v>148</v>
      </c>
      <c r="T83" s="21" t="s">
        <v>149</v>
      </c>
      <c r="U83" s="21" t="s">
        <v>150</v>
      </c>
      <c r="V83" s="21" t="s">
        <v>151</v>
      </c>
      <c r="W83" s="24" t="s">
        <v>152</v>
      </c>
    </row>
    <row r="84" spans="1:23" x14ac:dyDescent="0.25">
      <c r="A84" s="19">
        <v>1</v>
      </c>
      <c r="B84" s="25">
        <v>44932</v>
      </c>
      <c r="C84" s="22">
        <v>7898</v>
      </c>
      <c r="D84" s="22">
        <v>17</v>
      </c>
      <c r="E84" s="22">
        <v>2</v>
      </c>
      <c r="F84" s="22">
        <v>4</v>
      </c>
      <c r="G84" s="22">
        <v>2</v>
      </c>
      <c r="H84" s="22">
        <v>9</v>
      </c>
      <c r="I84" s="22">
        <v>6</v>
      </c>
      <c r="J84" s="22">
        <v>8</v>
      </c>
      <c r="K84" s="22">
        <v>22</v>
      </c>
      <c r="L84" s="22">
        <v>35</v>
      </c>
      <c r="M84" s="22">
        <v>41</v>
      </c>
      <c r="N84" s="22">
        <v>56</v>
      </c>
      <c r="O84" s="22">
        <v>104</v>
      </c>
      <c r="P84" s="22">
        <v>184</v>
      </c>
      <c r="Q84" s="22">
        <v>295</v>
      </c>
      <c r="R84" s="22">
        <v>393</v>
      </c>
      <c r="S84" s="22">
        <v>563</v>
      </c>
      <c r="T84" s="22">
        <v>919</v>
      </c>
      <c r="U84" s="22">
        <v>1261</v>
      </c>
      <c r="V84" s="22">
        <v>1537</v>
      </c>
      <c r="W84" s="26">
        <v>2440</v>
      </c>
    </row>
    <row r="85" spans="1:23" x14ac:dyDescent="0.25">
      <c r="A85" s="20">
        <v>2</v>
      </c>
      <c r="B85" s="27">
        <v>44939</v>
      </c>
      <c r="C85" s="23">
        <v>8930</v>
      </c>
      <c r="D85" s="23">
        <v>23</v>
      </c>
      <c r="E85" s="23">
        <v>5</v>
      </c>
      <c r="F85" s="23">
        <v>1</v>
      </c>
      <c r="G85" s="23">
        <v>4</v>
      </c>
      <c r="H85" s="23">
        <v>4</v>
      </c>
      <c r="I85" s="23">
        <v>12</v>
      </c>
      <c r="J85" s="23">
        <v>14</v>
      </c>
      <c r="K85" s="23">
        <v>23</v>
      </c>
      <c r="L85" s="23">
        <v>32</v>
      </c>
      <c r="M85" s="23">
        <v>63</v>
      </c>
      <c r="N85" s="23">
        <v>81</v>
      </c>
      <c r="O85" s="23">
        <v>153</v>
      </c>
      <c r="P85" s="23">
        <v>201</v>
      </c>
      <c r="Q85" s="23">
        <v>335</v>
      </c>
      <c r="R85" s="23">
        <v>417</v>
      </c>
      <c r="S85" s="23">
        <v>630</v>
      </c>
      <c r="T85" s="23">
        <v>1044</v>
      </c>
      <c r="U85" s="23">
        <v>1405</v>
      </c>
      <c r="V85" s="23">
        <v>1707</v>
      </c>
      <c r="W85" s="28">
        <v>2776</v>
      </c>
    </row>
    <row r="86" spans="1:23" x14ac:dyDescent="0.25">
      <c r="A86" s="20">
        <v>3</v>
      </c>
      <c r="B86" s="27">
        <v>44946</v>
      </c>
      <c r="C86" s="23">
        <v>8020</v>
      </c>
      <c r="D86" s="23">
        <v>21</v>
      </c>
      <c r="E86" s="23">
        <v>4</v>
      </c>
      <c r="F86" s="23">
        <v>2</v>
      </c>
      <c r="G86" s="23">
        <v>2</v>
      </c>
      <c r="H86" s="23">
        <v>5</v>
      </c>
      <c r="I86" s="23">
        <v>5</v>
      </c>
      <c r="J86" s="23">
        <v>11</v>
      </c>
      <c r="K86" s="23">
        <v>21</v>
      </c>
      <c r="L86" s="23">
        <v>46</v>
      </c>
      <c r="M86" s="23">
        <v>60</v>
      </c>
      <c r="N86" s="23">
        <v>89</v>
      </c>
      <c r="O86" s="23">
        <v>141</v>
      </c>
      <c r="P86" s="23">
        <v>180</v>
      </c>
      <c r="Q86" s="23">
        <v>272</v>
      </c>
      <c r="R86" s="23">
        <v>409</v>
      </c>
      <c r="S86" s="23">
        <v>602</v>
      </c>
      <c r="T86" s="23">
        <v>945</v>
      </c>
      <c r="U86" s="23">
        <v>1198</v>
      </c>
      <c r="V86" s="23">
        <v>1579</v>
      </c>
      <c r="W86" s="28">
        <v>2428</v>
      </c>
    </row>
    <row r="87" spans="1:23" x14ac:dyDescent="0.25">
      <c r="A87" s="20">
        <v>4</v>
      </c>
      <c r="B87" s="27">
        <v>44953</v>
      </c>
      <c r="C87" s="23">
        <v>7024</v>
      </c>
      <c r="D87" s="23">
        <v>18</v>
      </c>
      <c r="E87" s="23">
        <v>2</v>
      </c>
      <c r="F87" s="23">
        <v>2</v>
      </c>
      <c r="G87" s="23">
        <v>6</v>
      </c>
      <c r="H87" s="23">
        <v>2</v>
      </c>
      <c r="I87" s="23">
        <v>5</v>
      </c>
      <c r="J87" s="23">
        <v>15</v>
      </c>
      <c r="K87" s="23">
        <v>27</v>
      </c>
      <c r="L87" s="23">
        <v>24</v>
      </c>
      <c r="M87" s="23">
        <v>58</v>
      </c>
      <c r="N87" s="23">
        <v>76</v>
      </c>
      <c r="O87" s="23">
        <v>135</v>
      </c>
      <c r="P87" s="23">
        <v>189</v>
      </c>
      <c r="Q87" s="23">
        <v>237</v>
      </c>
      <c r="R87" s="23">
        <v>352</v>
      </c>
      <c r="S87" s="23">
        <v>530</v>
      </c>
      <c r="T87" s="23">
        <v>874</v>
      </c>
      <c r="U87" s="23">
        <v>1049</v>
      </c>
      <c r="V87" s="23">
        <v>1371</v>
      </c>
      <c r="W87" s="28">
        <v>2052</v>
      </c>
    </row>
    <row r="88" spans="1:23" x14ac:dyDescent="0.25">
      <c r="A88" s="20">
        <v>5</v>
      </c>
      <c r="B88" s="27">
        <v>44960</v>
      </c>
      <c r="C88" s="23">
        <v>6724</v>
      </c>
      <c r="D88" s="23">
        <v>28</v>
      </c>
      <c r="E88" s="23">
        <v>4</v>
      </c>
      <c r="F88" s="23">
        <v>2</v>
      </c>
      <c r="G88" s="23">
        <v>5</v>
      </c>
      <c r="H88" s="23">
        <v>13</v>
      </c>
      <c r="I88" s="23">
        <v>4</v>
      </c>
      <c r="J88" s="23">
        <v>12</v>
      </c>
      <c r="K88" s="23">
        <v>17</v>
      </c>
      <c r="L88" s="23">
        <v>43</v>
      </c>
      <c r="M88" s="23">
        <v>49</v>
      </c>
      <c r="N88" s="23">
        <v>74</v>
      </c>
      <c r="O88" s="23">
        <v>107</v>
      </c>
      <c r="P88" s="23">
        <v>172</v>
      </c>
      <c r="Q88" s="23">
        <v>240</v>
      </c>
      <c r="R88" s="23">
        <v>364</v>
      </c>
      <c r="S88" s="23">
        <v>501</v>
      </c>
      <c r="T88" s="23">
        <v>805</v>
      </c>
      <c r="U88" s="23">
        <v>1033</v>
      </c>
      <c r="V88" s="23">
        <v>1282</v>
      </c>
      <c r="W88" s="28">
        <v>1969</v>
      </c>
    </row>
    <row r="89" spans="1:23" x14ac:dyDescent="0.25">
      <c r="A89" s="20">
        <v>6</v>
      </c>
      <c r="B89" s="27">
        <v>44967</v>
      </c>
      <c r="C89" s="23">
        <v>6302</v>
      </c>
      <c r="D89" s="23">
        <v>23</v>
      </c>
      <c r="E89" s="23">
        <v>1</v>
      </c>
      <c r="F89" s="23">
        <v>1</v>
      </c>
      <c r="G89" s="23">
        <v>2</v>
      </c>
      <c r="H89" s="23">
        <v>2</v>
      </c>
      <c r="I89" s="23">
        <v>7</v>
      </c>
      <c r="J89" s="23">
        <v>12</v>
      </c>
      <c r="K89" s="23">
        <v>16</v>
      </c>
      <c r="L89" s="23">
        <v>32</v>
      </c>
      <c r="M89" s="23">
        <v>35</v>
      </c>
      <c r="N89" s="23">
        <v>63</v>
      </c>
      <c r="O89" s="23">
        <v>112</v>
      </c>
      <c r="P89" s="23">
        <v>147</v>
      </c>
      <c r="Q89" s="23">
        <v>235</v>
      </c>
      <c r="R89" s="23">
        <v>332</v>
      </c>
      <c r="S89" s="23">
        <v>495</v>
      </c>
      <c r="T89" s="23">
        <v>768</v>
      </c>
      <c r="U89" s="23">
        <v>949</v>
      </c>
      <c r="V89" s="23">
        <v>1245</v>
      </c>
      <c r="W89" s="28">
        <v>1825</v>
      </c>
    </row>
    <row r="90" spans="1:23" x14ac:dyDescent="0.25">
      <c r="A90" s="20">
        <v>7</v>
      </c>
      <c r="B90" s="27">
        <v>44974</v>
      </c>
      <c r="C90" s="23">
        <v>5986</v>
      </c>
      <c r="D90" s="23">
        <v>29</v>
      </c>
      <c r="E90" s="23">
        <v>5</v>
      </c>
      <c r="F90" s="23">
        <v>0</v>
      </c>
      <c r="G90" s="23">
        <v>1</v>
      </c>
      <c r="H90" s="23">
        <v>5</v>
      </c>
      <c r="I90" s="23">
        <v>9</v>
      </c>
      <c r="J90" s="23">
        <v>7</v>
      </c>
      <c r="K90" s="23">
        <v>17</v>
      </c>
      <c r="L90" s="23">
        <v>23</v>
      </c>
      <c r="M90" s="23">
        <v>44</v>
      </c>
      <c r="N90" s="23">
        <v>72</v>
      </c>
      <c r="O90" s="23">
        <v>89</v>
      </c>
      <c r="P90" s="23">
        <v>149</v>
      </c>
      <c r="Q90" s="23">
        <v>216</v>
      </c>
      <c r="R90" s="23">
        <v>326</v>
      </c>
      <c r="S90" s="23">
        <v>439</v>
      </c>
      <c r="T90" s="23">
        <v>754</v>
      </c>
      <c r="U90" s="23">
        <v>962</v>
      </c>
      <c r="V90" s="23">
        <v>1160</v>
      </c>
      <c r="W90" s="28">
        <v>1679</v>
      </c>
    </row>
    <row r="91" spans="1:23" x14ac:dyDescent="0.25">
      <c r="A91" s="20">
        <v>8</v>
      </c>
      <c r="B91" s="27">
        <v>44981</v>
      </c>
      <c r="C91" s="23">
        <v>5929</v>
      </c>
      <c r="D91" s="23">
        <v>19</v>
      </c>
      <c r="E91" s="23">
        <v>2</v>
      </c>
      <c r="F91" s="23">
        <v>1</v>
      </c>
      <c r="G91" s="23">
        <v>5</v>
      </c>
      <c r="H91" s="23">
        <v>4</v>
      </c>
      <c r="I91" s="23">
        <v>7</v>
      </c>
      <c r="J91" s="23">
        <v>8</v>
      </c>
      <c r="K91" s="23">
        <v>23</v>
      </c>
      <c r="L91" s="23">
        <v>39</v>
      </c>
      <c r="M91" s="23">
        <v>52</v>
      </c>
      <c r="N91" s="23">
        <v>61</v>
      </c>
      <c r="O91" s="23">
        <v>120</v>
      </c>
      <c r="P91" s="23">
        <v>176</v>
      </c>
      <c r="Q91" s="23">
        <v>220</v>
      </c>
      <c r="R91" s="23">
        <v>333</v>
      </c>
      <c r="S91" s="23">
        <v>445</v>
      </c>
      <c r="T91" s="23">
        <v>704</v>
      </c>
      <c r="U91" s="23">
        <v>921</v>
      </c>
      <c r="V91" s="23">
        <v>1110</v>
      </c>
      <c r="W91" s="28">
        <v>1679</v>
      </c>
    </row>
    <row r="92" spans="1:23" x14ac:dyDescent="0.25">
      <c r="A92" s="20">
        <v>9</v>
      </c>
      <c r="B92" s="27">
        <v>44988</v>
      </c>
      <c r="C92" s="23">
        <v>5896</v>
      </c>
      <c r="D92" s="23">
        <v>25</v>
      </c>
      <c r="E92" s="23">
        <v>4</v>
      </c>
      <c r="F92" s="23">
        <v>3</v>
      </c>
      <c r="G92" s="23">
        <v>1</v>
      </c>
      <c r="H92" s="23">
        <v>4</v>
      </c>
      <c r="I92" s="23">
        <v>9</v>
      </c>
      <c r="J92" s="23">
        <v>5</v>
      </c>
      <c r="K92" s="23">
        <v>13</v>
      </c>
      <c r="L92" s="23">
        <v>25</v>
      </c>
      <c r="M92" s="23">
        <v>40</v>
      </c>
      <c r="N92" s="23">
        <v>51</v>
      </c>
      <c r="O92" s="23">
        <v>99</v>
      </c>
      <c r="P92" s="23">
        <v>170</v>
      </c>
      <c r="Q92" s="23">
        <v>225</v>
      </c>
      <c r="R92" s="23">
        <v>325</v>
      </c>
      <c r="S92" s="23">
        <v>455</v>
      </c>
      <c r="T92" s="23">
        <v>701</v>
      </c>
      <c r="U92" s="23">
        <v>912</v>
      </c>
      <c r="V92" s="23">
        <v>1184</v>
      </c>
      <c r="W92" s="28">
        <v>1645</v>
      </c>
    </row>
    <row r="93" spans="1:23" x14ac:dyDescent="0.25">
      <c r="A93" s="20">
        <v>10</v>
      </c>
      <c r="B93" s="27">
        <v>44995</v>
      </c>
      <c r="C93" s="23">
        <v>5708</v>
      </c>
      <c r="D93" s="23">
        <v>17</v>
      </c>
      <c r="E93" s="23">
        <v>5</v>
      </c>
      <c r="F93" s="23">
        <v>2</v>
      </c>
      <c r="G93" s="23">
        <v>5</v>
      </c>
      <c r="H93" s="23">
        <v>4</v>
      </c>
      <c r="I93" s="23">
        <v>10</v>
      </c>
      <c r="J93" s="23">
        <v>15</v>
      </c>
      <c r="K93" s="23">
        <v>21</v>
      </c>
      <c r="L93" s="23">
        <v>44</v>
      </c>
      <c r="M93" s="23">
        <v>51</v>
      </c>
      <c r="N93" s="23">
        <v>61</v>
      </c>
      <c r="O93" s="23">
        <v>100</v>
      </c>
      <c r="P93" s="23">
        <v>154</v>
      </c>
      <c r="Q93" s="23">
        <v>228</v>
      </c>
      <c r="R93" s="23">
        <v>299</v>
      </c>
      <c r="S93" s="23">
        <v>464</v>
      </c>
      <c r="T93" s="23">
        <v>667</v>
      </c>
      <c r="U93" s="23">
        <v>848</v>
      </c>
      <c r="V93" s="23">
        <v>1151</v>
      </c>
      <c r="W93" s="28">
        <v>1562</v>
      </c>
    </row>
    <row r="94" spans="1:23" x14ac:dyDescent="0.25">
      <c r="A94" s="20">
        <v>11</v>
      </c>
      <c r="B94" s="27">
        <v>45002</v>
      </c>
      <c r="C94" s="23">
        <v>5907</v>
      </c>
      <c r="D94" s="23">
        <v>17</v>
      </c>
      <c r="E94" s="23">
        <v>6</v>
      </c>
      <c r="F94" s="23">
        <v>1</v>
      </c>
      <c r="G94" s="23">
        <v>3</v>
      </c>
      <c r="H94" s="23">
        <v>4</v>
      </c>
      <c r="I94" s="23">
        <v>8</v>
      </c>
      <c r="J94" s="23">
        <v>14</v>
      </c>
      <c r="K94" s="23">
        <v>17</v>
      </c>
      <c r="L94" s="23">
        <v>27</v>
      </c>
      <c r="M94" s="23">
        <v>46</v>
      </c>
      <c r="N94" s="23">
        <v>58</v>
      </c>
      <c r="O94" s="23">
        <v>112</v>
      </c>
      <c r="P94" s="23">
        <v>162</v>
      </c>
      <c r="Q94" s="23">
        <v>252</v>
      </c>
      <c r="R94" s="23">
        <v>300</v>
      </c>
      <c r="S94" s="23">
        <v>479</v>
      </c>
      <c r="T94" s="23">
        <v>715</v>
      </c>
      <c r="U94" s="23">
        <v>908</v>
      </c>
      <c r="V94" s="23">
        <v>1150</v>
      </c>
      <c r="W94" s="28">
        <v>1628</v>
      </c>
    </row>
    <row r="95" spans="1:23" x14ac:dyDescent="0.25">
      <c r="A95" s="20">
        <v>12</v>
      </c>
      <c r="B95" s="27">
        <v>45009</v>
      </c>
      <c r="C95" s="23">
        <v>5944</v>
      </c>
      <c r="D95" s="23">
        <v>20</v>
      </c>
      <c r="E95" s="23">
        <v>9</v>
      </c>
      <c r="F95" s="23">
        <v>3</v>
      </c>
      <c r="G95" s="23">
        <v>3</v>
      </c>
      <c r="H95" s="23">
        <v>8</v>
      </c>
      <c r="I95" s="23">
        <v>12</v>
      </c>
      <c r="J95" s="23">
        <v>15</v>
      </c>
      <c r="K95" s="23">
        <v>17</v>
      </c>
      <c r="L95" s="23">
        <v>34</v>
      </c>
      <c r="M95" s="23">
        <v>50</v>
      </c>
      <c r="N95" s="23">
        <v>56</v>
      </c>
      <c r="O95" s="23">
        <v>113</v>
      </c>
      <c r="P95" s="23">
        <v>168</v>
      </c>
      <c r="Q95" s="23">
        <v>211</v>
      </c>
      <c r="R95" s="23">
        <v>325</v>
      </c>
      <c r="S95" s="23">
        <v>466</v>
      </c>
      <c r="T95" s="23">
        <v>665</v>
      </c>
      <c r="U95" s="23">
        <v>909</v>
      </c>
      <c r="V95" s="23">
        <v>1134</v>
      </c>
      <c r="W95" s="28">
        <v>1726</v>
      </c>
    </row>
    <row r="96" spans="1:23" x14ac:dyDescent="0.25">
      <c r="A96" s="20">
        <v>13</v>
      </c>
      <c r="B96" s="27">
        <v>45016</v>
      </c>
      <c r="C96" s="23">
        <v>5762</v>
      </c>
      <c r="D96" s="23">
        <v>22</v>
      </c>
      <c r="E96" s="23">
        <v>4</v>
      </c>
      <c r="F96" s="23">
        <v>2</v>
      </c>
      <c r="G96" s="23">
        <v>3</v>
      </c>
      <c r="H96" s="23">
        <v>3</v>
      </c>
      <c r="I96" s="23">
        <v>8</v>
      </c>
      <c r="J96" s="23">
        <v>10</v>
      </c>
      <c r="K96" s="23">
        <v>23</v>
      </c>
      <c r="L96" s="23">
        <v>31</v>
      </c>
      <c r="M96" s="23">
        <v>50</v>
      </c>
      <c r="N96" s="23">
        <v>70</v>
      </c>
      <c r="O96" s="23">
        <v>94</v>
      </c>
      <c r="P96" s="23">
        <v>152</v>
      </c>
      <c r="Q96" s="23">
        <v>203</v>
      </c>
      <c r="R96" s="23">
        <v>322</v>
      </c>
      <c r="S96" s="23">
        <v>443</v>
      </c>
      <c r="T96" s="23">
        <v>720</v>
      </c>
      <c r="U96" s="23">
        <v>859</v>
      </c>
      <c r="V96" s="23">
        <v>1069</v>
      </c>
      <c r="W96" s="28">
        <v>1674</v>
      </c>
    </row>
    <row r="97" spans="1:23" x14ac:dyDescent="0.25">
      <c r="A97" s="20">
        <v>14</v>
      </c>
      <c r="B97" s="27">
        <v>45023</v>
      </c>
      <c r="C97" s="23">
        <v>4880</v>
      </c>
      <c r="D97" s="23">
        <v>16</v>
      </c>
      <c r="E97" s="23">
        <v>3</v>
      </c>
      <c r="F97" s="23">
        <v>2</v>
      </c>
      <c r="G97" s="23">
        <v>3</v>
      </c>
      <c r="H97" s="23">
        <v>4</v>
      </c>
      <c r="I97" s="23">
        <v>2</v>
      </c>
      <c r="J97" s="23">
        <v>11</v>
      </c>
      <c r="K97" s="23">
        <v>21</v>
      </c>
      <c r="L97" s="23">
        <v>34</v>
      </c>
      <c r="M97" s="23">
        <v>40</v>
      </c>
      <c r="N97" s="23">
        <v>44</v>
      </c>
      <c r="O97" s="23">
        <v>90</v>
      </c>
      <c r="P97" s="23">
        <v>141</v>
      </c>
      <c r="Q97" s="23">
        <v>182</v>
      </c>
      <c r="R97" s="23">
        <v>257</v>
      </c>
      <c r="S97" s="23">
        <v>391</v>
      </c>
      <c r="T97" s="23">
        <v>635</v>
      </c>
      <c r="U97" s="23">
        <v>775</v>
      </c>
      <c r="V97" s="23">
        <v>902</v>
      </c>
      <c r="W97" s="28">
        <v>1327</v>
      </c>
    </row>
    <row r="98" spans="1:23" x14ac:dyDescent="0.25">
      <c r="A98" s="20">
        <v>15</v>
      </c>
      <c r="B98" s="27">
        <v>45030</v>
      </c>
      <c r="C98" s="23">
        <v>4874</v>
      </c>
      <c r="D98" s="23">
        <v>20</v>
      </c>
      <c r="E98" s="23">
        <v>2</v>
      </c>
      <c r="F98" s="23">
        <v>0</v>
      </c>
      <c r="G98" s="23">
        <v>3</v>
      </c>
      <c r="H98" s="23">
        <v>3</v>
      </c>
      <c r="I98" s="23">
        <v>6</v>
      </c>
      <c r="J98" s="23">
        <v>10</v>
      </c>
      <c r="K98" s="23">
        <v>16</v>
      </c>
      <c r="L98" s="23">
        <v>25</v>
      </c>
      <c r="M98" s="23">
        <v>33</v>
      </c>
      <c r="N98" s="23">
        <v>55</v>
      </c>
      <c r="O98" s="23">
        <v>76</v>
      </c>
      <c r="P98" s="23">
        <v>139</v>
      </c>
      <c r="Q98" s="23">
        <v>183</v>
      </c>
      <c r="R98" s="23">
        <v>277</v>
      </c>
      <c r="S98" s="23">
        <v>413</v>
      </c>
      <c r="T98" s="23">
        <v>636</v>
      </c>
      <c r="U98" s="23">
        <v>728</v>
      </c>
      <c r="V98" s="23">
        <v>902</v>
      </c>
      <c r="W98" s="28">
        <v>1347</v>
      </c>
    </row>
    <row r="99" spans="1:23" x14ac:dyDescent="0.25">
      <c r="A99" s="20">
        <v>16</v>
      </c>
      <c r="B99" s="27">
        <v>45037</v>
      </c>
      <c r="C99" s="23">
        <v>6081</v>
      </c>
      <c r="D99" s="23">
        <v>27</v>
      </c>
      <c r="E99" s="23">
        <v>4</v>
      </c>
      <c r="F99" s="23">
        <v>1</v>
      </c>
      <c r="G99" s="23">
        <v>5</v>
      </c>
      <c r="H99" s="23">
        <v>7</v>
      </c>
      <c r="I99" s="23">
        <v>9</v>
      </c>
      <c r="J99" s="23">
        <v>9</v>
      </c>
      <c r="K99" s="23">
        <v>18</v>
      </c>
      <c r="L99" s="23">
        <v>26</v>
      </c>
      <c r="M99" s="23">
        <v>54</v>
      </c>
      <c r="N99" s="23">
        <v>63</v>
      </c>
      <c r="O99" s="23">
        <v>103</v>
      </c>
      <c r="P99" s="23">
        <v>166</v>
      </c>
      <c r="Q99" s="23">
        <v>256</v>
      </c>
      <c r="R99" s="23">
        <v>300</v>
      </c>
      <c r="S99" s="23">
        <v>483</v>
      </c>
      <c r="T99" s="23">
        <v>740</v>
      </c>
      <c r="U99" s="23">
        <v>948</v>
      </c>
      <c r="V99" s="23">
        <v>1157</v>
      </c>
      <c r="W99" s="28">
        <v>1705</v>
      </c>
    </row>
    <row r="100" spans="1:23" x14ac:dyDescent="0.25">
      <c r="A100" s="20">
        <v>17</v>
      </c>
      <c r="B100" s="27">
        <v>45044</v>
      </c>
      <c r="C100" s="23">
        <v>5986</v>
      </c>
      <c r="D100" s="23">
        <v>17</v>
      </c>
      <c r="E100" s="23">
        <v>4</v>
      </c>
      <c r="F100" s="23">
        <v>3</v>
      </c>
      <c r="G100" s="23">
        <v>1</v>
      </c>
      <c r="H100" s="23">
        <v>10</v>
      </c>
      <c r="I100" s="23">
        <v>7</v>
      </c>
      <c r="J100" s="23">
        <v>12</v>
      </c>
      <c r="K100" s="23">
        <v>23</v>
      </c>
      <c r="L100" s="23">
        <v>29</v>
      </c>
      <c r="M100" s="23">
        <v>50</v>
      </c>
      <c r="N100" s="23">
        <v>73</v>
      </c>
      <c r="O100" s="23">
        <v>100</v>
      </c>
      <c r="P100" s="23">
        <v>202</v>
      </c>
      <c r="Q100" s="23">
        <v>233</v>
      </c>
      <c r="R100" s="23">
        <v>314</v>
      </c>
      <c r="S100" s="23">
        <v>482</v>
      </c>
      <c r="T100" s="23">
        <v>729</v>
      </c>
      <c r="U100" s="23">
        <v>913</v>
      </c>
      <c r="V100" s="23">
        <v>1109</v>
      </c>
      <c r="W100" s="28">
        <v>1675</v>
      </c>
    </row>
    <row r="101" spans="1:23" x14ac:dyDescent="0.25">
      <c r="A101" s="20">
        <v>18</v>
      </c>
      <c r="B101" s="27">
        <v>45051</v>
      </c>
      <c r="C101" s="23">
        <v>5056</v>
      </c>
      <c r="D101" s="23">
        <v>22</v>
      </c>
      <c r="E101" s="23">
        <v>4</v>
      </c>
      <c r="F101" s="23">
        <v>2</v>
      </c>
      <c r="G101" s="23">
        <v>2</v>
      </c>
      <c r="H101" s="23">
        <v>4</v>
      </c>
      <c r="I101" s="23">
        <v>7</v>
      </c>
      <c r="J101" s="23">
        <v>9</v>
      </c>
      <c r="K101" s="23">
        <v>25</v>
      </c>
      <c r="L101" s="23">
        <v>29</v>
      </c>
      <c r="M101" s="23">
        <v>43</v>
      </c>
      <c r="N101" s="23">
        <v>41</v>
      </c>
      <c r="O101" s="23">
        <v>98</v>
      </c>
      <c r="P101" s="23">
        <v>139</v>
      </c>
      <c r="Q101" s="23">
        <v>202</v>
      </c>
      <c r="R101" s="23">
        <v>256</v>
      </c>
      <c r="S101" s="23">
        <v>362</v>
      </c>
      <c r="T101" s="23">
        <v>644</v>
      </c>
      <c r="U101" s="23">
        <v>787</v>
      </c>
      <c r="V101" s="23">
        <v>993</v>
      </c>
      <c r="W101" s="28">
        <v>1387</v>
      </c>
    </row>
    <row r="102" spans="1:23" x14ac:dyDescent="0.25">
      <c r="A102" s="20">
        <v>19</v>
      </c>
      <c r="B102" s="27">
        <v>45058</v>
      </c>
      <c r="C102" s="23">
        <v>5047</v>
      </c>
      <c r="D102" s="23">
        <v>12</v>
      </c>
      <c r="E102" s="23">
        <v>2</v>
      </c>
      <c r="F102" s="23">
        <v>1</v>
      </c>
      <c r="G102" s="23">
        <v>0</v>
      </c>
      <c r="H102" s="23">
        <v>2</v>
      </c>
      <c r="I102" s="23">
        <v>12</v>
      </c>
      <c r="J102" s="23">
        <v>21</v>
      </c>
      <c r="K102" s="23">
        <v>20</v>
      </c>
      <c r="L102" s="23">
        <v>26</v>
      </c>
      <c r="M102" s="23">
        <v>31</v>
      </c>
      <c r="N102" s="23">
        <v>64</v>
      </c>
      <c r="O102" s="23">
        <v>70</v>
      </c>
      <c r="P102" s="23">
        <v>143</v>
      </c>
      <c r="Q102" s="23">
        <v>198</v>
      </c>
      <c r="R102" s="23">
        <v>278</v>
      </c>
      <c r="S102" s="23">
        <v>370</v>
      </c>
      <c r="T102" s="23">
        <v>650</v>
      </c>
      <c r="U102" s="23">
        <v>766</v>
      </c>
      <c r="V102" s="23">
        <v>970</v>
      </c>
      <c r="W102" s="28">
        <v>1411</v>
      </c>
    </row>
    <row r="103" spans="1:23" x14ac:dyDescent="0.25">
      <c r="A103" s="20">
        <v>20</v>
      </c>
      <c r="B103" s="27">
        <v>45065</v>
      </c>
      <c r="C103" s="23">
        <v>5657</v>
      </c>
      <c r="D103" s="23">
        <v>24</v>
      </c>
      <c r="E103" s="23">
        <v>3</v>
      </c>
      <c r="F103" s="23">
        <v>4</v>
      </c>
      <c r="G103" s="23">
        <v>4</v>
      </c>
      <c r="H103" s="23">
        <v>4</v>
      </c>
      <c r="I103" s="23">
        <v>3</v>
      </c>
      <c r="J103" s="23">
        <v>4</v>
      </c>
      <c r="K103" s="23">
        <v>18</v>
      </c>
      <c r="L103" s="23">
        <v>40</v>
      </c>
      <c r="M103" s="23">
        <v>47</v>
      </c>
      <c r="N103" s="23">
        <v>56</v>
      </c>
      <c r="O103" s="23">
        <v>102</v>
      </c>
      <c r="P103" s="23">
        <v>146</v>
      </c>
      <c r="Q103" s="23">
        <v>239</v>
      </c>
      <c r="R103" s="23">
        <v>296</v>
      </c>
      <c r="S103" s="23">
        <v>445</v>
      </c>
      <c r="T103" s="23">
        <v>698</v>
      </c>
      <c r="U103" s="23">
        <v>868</v>
      </c>
      <c r="V103" s="23">
        <v>1092</v>
      </c>
      <c r="W103" s="28">
        <v>1564</v>
      </c>
    </row>
    <row r="104" spans="1:23" x14ac:dyDescent="0.25">
      <c r="A104" s="20">
        <v>21</v>
      </c>
      <c r="B104" s="27">
        <v>45072</v>
      </c>
      <c r="C104" s="23">
        <v>5274</v>
      </c>
      <c r="D104" s="23">
        <v>15</v>
      </c>
      <c r="E104" s="23">
        <v>2</v>
      </c>
      <c r="F104" s="23">
        <v>2</v>
      </c>
      <c r="G104" s="23">
        <v>2</v>
      </c>
      <c r="H104" s="23">
        <v>1</v>
      </c>
      <c r="I104" s="23">
        <v>15</v>
      </c>
      <c r="J104" s="23">
        <v>12</v>
      </c>
      <c r="K104" s="23">
        <v>17</v>
      </c>
      <c r="L104" s="23">
        <v>36</v>
      </c>
      <c r="M104" s="23">
        <v>52</v>
      </c>
      <c r="N104" s="23">
        <v>71</v>
      </c>
      <c r="O104" s="23">
        <v>95</v>
      </c>
      <c r="P104" s="23">
        <v>157</v>
      </c>
      <c r="Q104" s="23">
        <v>227</v>
      </c>
      <c r="R104" s="23">
        <v>265</v>
      </c>
      <c r="S104" s="23">
        <v>463</v>
      </c>
      <c r="T104" s="23">
        <v>647</v>
      </c>
      <c r="U104" s="23">
        <v>790</v>
      </c>
      <c r="V104" s="23">
        <v>1011</v>
      </c>
      <c r="W104" s="28">
        <v>1394</v>
      </c>
    </row>
    <row r="105" spans="1:23" x14ac:dyDescent="0.25">
      <c r="A105" s="20">
        <v>22</v>
      </c>
      <c r="B105" s="27">
        <v>45079</v>
      </c>
      <c r="C105" s="23">
        <v>4313</v>
      </c>
      <c r="D105" s="23">
        <v>20</v>
      </c>
      <c r="E105" s="23">
        <v>4</v>
      </c>
      <c r="F105" s="23">
        <v>2</v>
      </c>
      <c r="G105" s="23">
        <v>3</v>
      </c>
      <c r="H105" s="23">
        <v>8</v>
      </c>
      <c r="I105" s="23">
        <v>8</v>
      </c>
      <c r="J105" s="23">
        <v>10</v>
      </c>
      <c r="K105" s="23">
        <v>18</v>
      </c>
      <c r="L105" s="23">
        <v>25</v>
      </c>
      <c r="M105" s="23">
        <v>38</v>
      </c>
      <c r="N105" s="23">
        <v>47</v>
      </c>
      <c r="O105" s="23">
        <v>94</v>
      </c>
      <c r="P105" s="23">
        <v>129</v>
      </c>
      <c r="Q105" s="23">
        <v>173</v>
      </c>
      <c r="R105" s="23">
        <v>231</v>
      </c>
      <c r="S105" s="23">
        <v>367</v>
      </c>
      <c r="T105" s="23">
        <v>570</v>
      </c>
      <c r="U105" s="23">
        <v>698</v>
      </c>
      <c r="V105" s="23">
        <v>775</v>
      </c>
      <c r="W105" s="28">
        <v>1093</v>
      </c>
    </row>
    <row r="106" spans="1:23" x14ac:dyDescent="0.25">
      <c r="A106" s="20">
        <v>23</v>
      </c>
      <c r="B106" s="27">
        <v>45086</v>
      </c>
      <c r="C106" s="23">
        <v>5301</v>
      </c>
      <c r="D106" s="23">
        <v>21</v>
      </c>
      <c r="E106" s="23">
        <v>1</v>
      </c>
      <c r="F106" s="23">
        <v>2</v>
      </c>
      <c r="G106" s="23">
        <v>7</v>
      </c>
      <c r="H106" s="23">
        <v>6</v>
      </c>
      <c r="I106" s="23">
        <v>13</v>
      </c>
      <c r="J106" s="23">
        <v>13</v>
      </c>
      <c r="K106" s="23">
        <v>18</v>
      </c>
      <c r="L106" s="23">
        <v>24</v>
      </c>
      <c r="M106" s="23">
        <v>51</v>
      </c>
      <c r="N106" s="23">
        <v>59</v>
      </c>
      <c r="O106" s="23">
        <v>100</v>
      </c>
      <c r="P106" s="23">
        <v>151</v>
      </c>
      <c r="Q106" s="23">
        <v>194</v>
      </c>
      <c r="R106" s="23">
        <v>285</v>
      </c>
      <c r="S106" s="23">
        <v>402</v>
      </c>
      <c r="T106" s="23">
        <v>692</v>
      </c>
      <c r="U106" s="23">
        <v>818</v>
      </c>
      <c r="V106" s="23">
        <v>1031</v>
      </c>
      <c r="W106" s="28">
        <v>1413</v>
      </c>
    </row>
    <row r="107" spans="1:23" x14ac:dyDescent="0.25">
      <c r="A107" s="20">
        <v>24</v>
      </c>
      <c r="B107" s="27">
        <v>45093</v>
      </c>
      <c r="C107" s="23">
        <v>5157</v>
      </c>
      <c r="D107" s="23">
        <v>23</v>
      </c>
      <c r="E107" s="23">
        <v>2</v>
      </c>
      <c r="F107" s="23">
        <v>3</v>
      </c>
      <c r="G107" s="23">
        <v>6</v>
      </c>
      <c r="H107" s="23">
        <v>5</v>
      </c>
      <c r="I107" s="23">
        <v>12</v>
      </c>
      <c r="J107" s="23">
        <v>8</v>
      </c>
      <c r="K107" s="23">
        <v>22</v>
      </c>
      <c r="L107" s="23">
        <v>22</v>
      </c>
      <c r="M107" s="23">
        <v>35</v>
      </c>
      <c r="N107" s="23">
        <v>60</v>
      </c>
      <c r="O107" s="23">
        <v>106</v>
      </c>
      <c r="P107" s="23">
        <v>144</v>
      </c>
      <c r="Q107" s="23">
        <v>210</v>
      </c>
      <c r="R107" s="23">
        <v>268</v>
      </c>
      <c r="S107" s="23">
        <v>466</v>
      </c>
      <c r="T107" s="23">
        <v>676</v>
      </c>
      <c r="U107" s="23">
        <v>751</v>
      </c>
      <c r="V107" s="23">
        <v>997</v>
      </c>
      <c r="W107" s="28">
        <v>1341</v>
      </c>
    </row>
    <row r="108" spans="1:23" x14ac:dyDescent="0.25">
      <c r="A108" s="20">
        <v>25</v>
      </c>
      <c r="B108" s="27">
        <v>45100</v>
      </c>
      <c r="C108" s="23">
        <v>5039</v>
      </c>
      <c r="D108" s="23">
        <v>28</v>
      </c>
      <c r="E108" s="23">
        <v>2</v>
      </c>
      <c r="F108" s="23">
        <v>2</v>
      </c>
      <c r="G108" s="23">
        <v>3</v>
      </c>
      <c r="H108" s="23">
        <v>4</v>
      </c>
      <c r="I108" s="23">
        <v>8</v>
      </c>
      <c r="J108" s="23">
        <v>9</v>
      </c>
      <c r="K108" s="23">
        <v>19</v>
      </c>
      <c r="L108" s="23">
        <v>23</v>
      </c>
      <c r="M108" s="23">
        <v>41</v>
      </c>
      <c r="N108" s="23">
        <v>66</v>
      </c>
      <c r="O108" s="23">
        <v>117</v>
      </c>
      <c r="P108" s="23">
        <v>188</v>
      </c>
      <c r="Q108" s="23">
        <v>188</v>
      </c>
      <c r="R108" s="23">
        <v>295</v>
      </c>
      <c r="S108" s="23">
        <v>377</v>
      </c>
      <c r="T108" s="23">
        <v>657</v>
      </c>
      <c r="U108" s="23">
        <v>765</v>
      </c>
      <c r="V108" s="23">
        <v>929</v>
      </c>
      <c r="W108" s="28">
        <v>1318</v>
      </c>
    </row>
    <row r="109" spans="1:23" x14ac:dyDescent="0.25">
      <c r="A109" s="20">
        <v>26</v>
      </c>
      <c r="B109" s="27">
        <v>45107</v>
      </c>
      <c r="C109" s="23">
        <v>5033</v>
      </c>
      <c r="D109" s="23">
        <v>21</v>
      </c>
      <c r="E109" s="23">
        <v>3</v>
      </c>
      <c r="F109" s="23">
        <v>2</v>
      </c>
      <c r="G109" s="23">
        <v>2</v>
      </c>
      <c r="H109" s="23">
        <v>9</v>
      </c>
      <c r="I109" s="23">
        <v>1</v>
      </c>
      <c r="J109" s="23">
        <v>17</v>
      </c>
      <c r="K109" s="23">
        <v>16</v>
      </c>
      <c r="L109" s="23">
        <v>28</v>
      </c>
      <c r="M109" s="23">
        <v>43</v>
      </c>
      <c r="N109" s="23">
        <v>52</v>
      </c>
      <c r="O109" s="23">
        <v>92</v>
      </c>
      <c r="P109" s="23">
        <v>150</v>
      </c>
      <c r="Q109" s="23">
        <v>235</v>
      </c>
      <c r="R109" s="23">
        <v>282</v>
      </c>
      <c r="S109" s="23">
        <v>424</v>
      </c>
      <c r="T109" s="23">
        <v>627</v>
      </c>
      <c r="U109" s="23">
        <v>784</v>
      </c>
      <c r="V109" s="23">
        <v>940</v>
      </c>
      <c r="W109" s="28">
        <v>1305</v>
      </c>
    </row>
    <row r="110" spans="1:23" x14ac:dyDescent="0.25">
      <c r="A110" s="20">
        <v>27</v>
      </c>
      <c r="B110" s="27">
        <v>45114</v>
      </c>
      <c r="C110" s="23">
        <v>4750</v>
      </c>
      <c r="D110" s="23">
        <v>16</v>
      </c>
      <c r="E110" s="23">
        <v>2</v>
      </c>
      <c r="F110" s="23">
        <v>1</v>
      </c>
      <c r="G110" s="23">
        <v>3</v>
      </c>
      <c r="H110" s="23">
        <v>6</v>
      </c>
      <c r="I110" s="23">
        <v>9</v>
      </c>
      <c r="J110" s="23">
        <v>13</v>
      </c>
      <c r="K110" s="23">
        <v>25</v>
      </c>
      <c r="L110" s="23">
        <v>26</v>
      </c>
      <c r="M110" s="23">
        <v>58</v>
      </c>
      <c r="N110" s="23">
        <v>49</v>
      </c>
      <c r="O110" s="23">
        <v>108</v>
      </c>
      <c r="P110" s="23">
        <v>157</v>
      </c>
      <c r="Q110" s="23">
        <v>212</v>
      </c>
      <c r="R110" s="23">
        <v>271</v>
      </c>
      <c r="S110" s="23">
        <v>385</v>
      </c>
      <c r="T110" s="23">
        <v>613</v>
      </c>
      <c r="U110" s="23">
        <v>722</v>
      </c>
      <c r="V110" s="23">
        <v>853</v>
      </c>
      <c r="W110" s="28">
        <v>1221</v>
      </c>
    </row>
    <row r="111" spans="1:23" x14ac:dyDescent="0.25">
      <c r="A111" s="20">
        <v>28</v>
      </c>
      <c r="B111" s="27">
        <v>45121</v>
      </c>
      <c r="C111" s="23">
        <v>4865</v>
      </c>
      <c r="D111" s="23">
        <v>20</v>
      </c>
      <c r="E111" s="23">
        <v>6</v>
      </c>
      <c r="F111" s="23">
        <v>2</v>
      </c>
      <c r="G111" s="23">
        <v>2</v>
      </c>
      <c r="H111" s="23">
        <v>8</v>
      </c>
      <c r="I111" s="23">
        <v>8</v>
      </c>
      <c r="J111" s="23">
        <v>13</v>
      </c>
      <c r="K111" s="23">
        <v>13</v>
      </c>
      <c r="L111" s="23">
        <v>40</v>
      </c>
      <c r="M111" s="23">
        <v>44</v>
      </c>
      <c r="N111" s="23">
        <v>68</v>
      </c>
      <c r="O111" s="23">
        <v>108</v>
      </c>
      <c r="P111" s="23">
        <v>157</v>
      </c>
      <c r="Q111" s="23">
        <v>207</v>
      </c>
      <c r="R111" s="23">
        <v>280</v>
      </c>
      <c r="S111" s="23">
        <v>361</v>
      </c>
      <c r="T111" s="23">
        <v>630</v>
      </c>
      <c r="U111" s="23">
        <v>770</v>
      </c>
      <c r="V111" s="23">
        <v>851</v>
      </c>
      <c r="W111" s="28">
        <v>1277</v>
      </c>
    </row>
    <row r="112" spans="1:23" x14ac:dyDescent="0.25">
      <c r="A112" s="20">
        <v>29</v>
      </c>
      <c r="B112" s="27">
        <v>45128</v>
      </c>
      <c r="C112" s="23">
        <v>4694</v>
      </c>
      <c r="D112" s="23">
        <v>15</v>
      </c>
      <c r="E112" s="23">
        <v>2</v>
      </c>
      <c r="F112" s="23">
        <v>1</v>
      </c>
      <c r="G112" s="23">
        <v>4</v>
      </c>
      <c r="H112" s="23">
        <v>5</v>
      </c>
      <c r="I112" s="23">
        <v>9</v>
      </c>
      <c r="J112" s="23">
        <v>10</v>
      </c>
      <c r="K112" s="23">
        <v>15</v>
      </c>
      <c r="L112" s="23">
        <v>24</v>
      </c>
      <c r="M112" s="23">
        <v>54</v>
      </c>
      <c r="N112" s="23">
        <v>62</v>
      </c>
      <c r="O112" s="23">
        <v>94</v>
      </c>
      <c r="P112" s="23">
        <v>130</v>
      </c>
      <c r="Q112" s="23">
        <v>194</v>
      </c>
      <c r="R112" s="23">
        <v>277</v>
      </c>
      <c r="S112" s="23">
        <v>382</v>
      </c>
      <c r="T112" s="23">
        <v>580</v>
      </c>
      <c r="U112" s="23">
        <v>715</v>
      </c>
      <c r="V112" s="23">
        <v>897</v>
      </c>
      <c r="W112" s="28">
        <v>1224</v>
      </c>
    </row>
    <row r="113" spans="1:23" x14ac:dyDescent="0.25">
      <c r="A113" s="20">
        <v>30</v>
      </c>
      <c r="B113" s="27">
        <v>45135</v>
      </c>
      <c r="C113" s="23">
        <v>4585</v>
      </c>
      <c r="D113" s="23">
        <v>21</v>
      </c>
      <c r="E113" s="23">
        <v>2</v>
      </c>
      <c r="F113" s="23">
        <v>1</v>
      </c>
      <c r="G113" s="23">
        <v>4</v>
      </c>
      <c r="H113" s="23">
        <v>4</v>
      </c>
      <c r="I113" s="23">
        <v>5</v>
      </c>
      <c r="J113" s="23">
        <v>6</v>
      </c>
      <c r="K113" s="23">
        <v>17</v>
      </c>
      <c r="L113" s="23">
        <v>24</v>
      </c>
      <c r="M113" s="23">
        <v>41</v>
      </c>
      <c r="N113" s="23">
        <v>57</v>
      </c>
      <c r="O113" s="23">
        <v>110</v>
      </c>
      <c r="P113" s="23">
        <v>147</v>
      </c>
      <c r="Q113" s="23">
        <v>200</v>
      </c>
      <c r="R113" s="23">
        <v>260</v>
      </c>
      <c r="S113" s="23">
        <v>384</v>
      </c>
      <c r="T113" s="23">
        <v>577</v>
      </c>
      <c r="U113" s="23">
        <v>682</v>
      </c>
      <c r="V113" s="23">
        <v>839</v>
      </c>
      <c r="W113" s="28">
        <v>1204</v>
      </c>
    </row>
    <row r="114" spans="1:23" x14ac:dyDescent="0.25">
      <c r="A114" s="20">
        <v>31</v>
      </c>
      <c r="B114" s="27">
        <v>45142</v>
      </c>
      <c r="C114" s="23">
        <v>4920</v>
      </c>
      <c r="D114" s="23">
        <v>24</v>
      </c>
      <c r="E114" s="23">
        <v>2</v>
      </c>
      <c r="F114" s="23">
        <v>4</v>
      </c>
      <c r="G114" s="23">
        <v>0</v>
      </c>
      <c r="H114" s="23">
        <v>7</v>
      </c>
      <c r="I114" s="23">
        <v>7</v>
      </c>
      <c r="J114" s="23">
        <v>12</v>
      </c>
      <c r="K114" s="23">
        <v>16</v>
      </c>
      <c r="L114" s="23">
        <v>35</v>
      </c>
      <c r="M114" s="23">
        <v>49</v>
      </c>
      <c r="N114" s="23">
        <v>52</v>
      </c>
      <c r="O114" s="23">
        <v>92</v>
      </c>
      <c r="P114" s="23">
        <v>167</v>
      </c>
      <c r="Q114" s="23">
        <v>264</v>
      </c>
      <c r="R114" s="23">
        <v>291</v>
      </c>
      <c r="S114" s="23">
        <v>382</v>
      </c>
      <c r="T114" s="23">
        <v>646</v>
      </c>
      <c r="U114" s="23">
        <v>722</v>
      </c>
      <c r="V114" s="23">
        <v>938</v>
      </c>
      <c r="W114" s="28">
        <v>1210</v>
      </c>
    </row>
    <row r="115" spans="1:23" x14ac:dyDescent="0.25">
      <c r="A115" s="20">
        <v>32</v>
      </c>
      <c r="B115" s="27">
        <v>45149</v>
      </c>
      <c r="C115" s="23">
        <v>4820</v>
      </c>
      <c r="D115" s="23">
        <v>24</v>
      </c>
      <c r="E115" s="23">
        <v>1</v>
      </c>
      <c r="F115" s="23">
        <v>0</v>
      </c>
      <c r="G115" s="23">
        <v>3</v>
      </c>
      <c r="H115" s="23">
        <v>8</v>
      </c>
      <c r="I115" s="23">
        <v>3</v>
      </c>
      <c r="J115" s="23">
        <v>10</v>
      </c>
      <c r="K115" s="23">
        <v>16</v>
      </c>
      <c r="L115" s="23">
        <v>46</v>
      </c>
      <c r="M115" s="23">
        <v>44</v>
      </c>
      <c r="N115" s="23">
        <v>63</v>
      </c>
      <c r="O115" s="23">
        <v>119</v>
      </c>
      <c r="P115" s="23">
        <v>164</v>
      </c>
      <c r="Q115" s="23">
        <v>198</v>
      </c>
      <c r="R115" s="23">
        <v>274</v>
      </c>
      <c r="S115" s="23">
        <v>375</v>
      </c>
      <c r="T115" s="23">
        <v>603</v>
      </c>
      <c r="U115" s="23">
        <v>709</v>
      </c>
      <c r="V115" s="23">
        <v>896</v>
      </c>
      <c r="W115" s="28">
        <v>1264</v>
      </c>
    </row>
    <row r="116" spans="1:23" x14ac:dyDescent="0.25">
      <c r="A116" s="20">
        <v>33</v>
      </c>
      <c r="B116" s="27">
        <v>45156</v>
      </c>
      <c r="C116" s="23">
        <v>4892</v>
      </c>
      <c r="D116" s="23">
        <v>24</v>
      </c>
      <c r="E116" s="23">
        <v>5</v>
      </c>
      <c r="F116" s="23">
        <v>3</v>
      </c>
      <c r="G116" s="23">
        <v>3</v>
      </c>
      <c r="H116" s="23">
        <v>6</v>
      </c>
      <c r="I116" s="23">
        <v>5</v>
      </c>
      <c r="J116" s="23">
        <v>13</v>
      </c>
      <c r="K116" s="23">
        <v>18</v>
      </c>
      <c r="L116" s="23">
        <v>17</v>
      </c>
      <c r="M116" s="23">
        <v>34</v>
      </c>
      <c r="N116" s="23">
        <v>56</v>
      </c>
      <c r="O116" s="23">
        <v>120</v>
      </c>
      <c r="P116" s="23">
        <v>148</v>
      </c>
      <c r="Q116" s="23">
        <v>201</v>
      </c>
      <c r="R116" s="23">
        <v>274</v>
      </c>
      <c r="S116" s="23">
        <v>434</v>
      </c>
      <c r="T116" s="23">
        <v>613</v>
      </c>
      <c r="U116" s="23">
        <v>734</v>
      </c>
      <c r="V116" s="23">
        <v>915</v>
      </c>
      <c r="W116" s="28">
        <v>1269</v>
      </c>
    </row>
    <row r="117" spans="1:23" x14ac:dyDescent="0.25">
      <c r="A117" s="20">
        <v>34</v>
      </c>
      <c r="B117" s="27">
        <v>45163</v>
      </c>
      <c r="C117" s="23">
        <v>4932</v>
      </c>
      <c r="D117" s="23">
        <v>16</v>
      </c>
      <c r="E117" s="23">
        <v>8</v>
      </c>
      <c r="F117" s="23">
        <v>1</v>
      </c>
      <c r="G117" s="23">
        <v>4</v>
      </c>
      <c r="H117" s="23">
        <v>9</v>
      </c>
      <c r="I117" s="23">
        <v>7</v>
      </c>
      <c r="J117" s="23">
        <v>9</v>
      </c>
      <c r="K117" s="23">
        <v>12</v>
      </c>
      <c r="L117" s="23">
        <v>30</v>
      </c>
      <c r="M117" s="23">
        <v>34</v>
      </c>
      <c r="N117" s="23">
        <v>66</v>
      </c>
      <c r="O117" s="23">
        <v>83</v>
      </c>
      <c r="P117" s="23">
        <v>152</v>
      </c>
      <c r="Q117" s="23">
        <v>183</v>
      </c>
      <c r="R117" s="23">
        <v>295</v>
      </c>
      <c r="S117" s="23">
        <v>378</v>
      </c>
      <c r="T117" s="23">
        <v>643</v>
      </c>
      <c r="U117" s="23">
        <v>746</v>
      </c>
      <c r="V117" s="23">
        <v>934</v>
      </c>
      <c r="W117" s="28">
        <v>1322</v>
      </c>
    </row>
    <row r="118" spans="1:23" x14ac:dyDescent="0.25">
      <c r="A118" s="20">
        <v>35</v>
      </c>
      <c r="B118" s="27">
        <v>45170</v>
      </c>
      <c r="C118" s="23">
        <v>4096</v>
      </c>
      <c r="D118" s="23">
        <v>13</v>
      </c>
      <c r="E118" s="23">
        <v>2</v>
      </c>
      <c r="F118" s="23">
        <v>3</v>
      </c>
      <c r="G118" s="23">
        <v>3</v>
      </c>
      <c r="H118" s="23">
        <v>5</v>
      </c>
      <c r="I118" s="23">
        <v>9</v>
      </c>
      <c r="J118" s="23">
        <v>13</v>
      </c>
      <c r="K118" s="23">
        <v>13</v>
      </c>
      <c r="L118" s="23">
        <v>17</v>
      </c>
      <c r="M118" s="23">
        <v>29</v>
      </c>
      <c r="N118" s="23">
        <v>52</v>
      </c>
      <c r="O118" s="23">
        <v>97</v>
      </c>
      <c r="P118" s="23">
        <v>125</v>
      </c>
      <c r="Q118" s="23">
        <v>170</v>
      </c>
      <c r="R118" s="23">
        <v>233</v>
      </c>
      <c r="S118" s="23">
        <v>334</v>
      </c>
      <c r="T118" s="23">
        <v>507</v>
      </c>
      <c r="U118" s="23">
        <v>607</v>
      </c>
      <c r="V118" s="23">
        <v>749</v>
      </c>
      <c r="W118" s="28">
        <v>1115</v>
      </c>
    </row>
    <row r="119" spans="1:23"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row>
  </sheetData>
  <sheetProtection sheet="1" formatCells="0" formatColumns="0"/>
  <pageMargins left="0.7" right="0.7" top="0.75" bottom="0.75" header="0.3" footer="0.3"/>
  <pageSetup paperSize="9" orientation="portrait" horizontalDpi="300" verticalDpi="300"/>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2"/>
  <sheetViews>
    <sheetView showGridLines="0" workbookViewId="0"/>
  </sheetViews>
  <sheetFormatPr defaultColWidth="10.90625" defaultRowHeight="15" x14ac:dyDescent="0.25"/>
  <cols>
    <col min="1" max="1" width="14.1796875" customWidth="1"/>
    <col min="2" max="23" width="13.1796875" customWidth="1"/>
  </cols>
  <sheetData>
    <row r="1" spans="1:8" ht="17.399999999999999" x14ac:dyDescent="0.3">
      <c r="A1" s="1" t="s">
        <v>155</v>
      </c>
    </row>
    <row r="2" spans="1:8" ht="17.399999999999999" x14ac:dyDescent="0.3">
      <c r="A2" s="1" t="s">
        <v>156</v>
      </c>
    </row>
    <row r="3" spans="1:8" x14ac:dyDescent="0.25">
      <c r="A3" t="s">
        <v>45</v>
      </c>
    </row>
    <row r="4" spans="1:8" x14ac:dyDescent="0.25">
      <c r="A4" t="s">
        <v>114</v>
      </c>
    </row>
    <row r="5" spans="1:8" x14ac:dyDescent="0.25">
      <c r="A5" t="s">
        <v>115</v>
      </c>
    </row>
    <row r="6" spans="1:8" ht="109.2" x14ac:dyDescent="0.25">
      <c r="A6" s="12" t="s">
        <v>116</v>
      </c>
      <c r="B6" s="11" t="s">
        <v>131</v>
      </c>
      <c r="C6" s="21" t="s">
        <v>157</v>
      </c>
      <c r="D6" s="21" t="s">
        <v>158</v>
      </c>
      <c r="E6" s="21" t="s">
        <v>159</v>
      </c>
      <c r="F6" s="21" t="s">
        <v>160</v>
      </c>
      <c r="G6" s="21" t="s">
        <v>161</v>
      </c>
      <c r="H6" s="24" t="s">
        <v>162</v>
      </c>
    </row>
    <row r="7" spans="1:8" x14ac:dyDescent="0.25">
      <c r="A7" s="19">
        <v>1</v>
      </c>
      <c r="B7" s="25">
        <v>44932</v>
      </c>
      <c r="C7" s="22">
        <v>6160</v>
      </c>
      <c r="D7" s="22">
        <v>2923</v>
      </c>
      <c r="E7" s="22">
        <v>3563</v>
      </c>
      <c r="F7" s="22">
        <v>1383</v>
      </c>
      <c r="G7" s="22">
        <v>739</v>
      </c>
      <c r="H7" s="26">
        <v>532</v>
      </c>
    </row>
    <row r="8" spans="1:8" x14ac:dyDescent="0.25">
      <c r="A8" s="20">
        <v>2</v>
      </c>
      <c r="B8" s="27">
        <v>44939</v>
      </c>
      <c r="C8" s="23">
        <v>7122</v>
      </c>
      <c r="D8" s="23">
        <v>3317</v>
      </c>
      <c r="E8" s="23">
        <v>4116</v>
      </c>
      <c r="F8" s="23">
        <v>1473</v>
      </c>
      <c r="G8" s="23">
        <v>922</v>
      </c>
      <c r="H8" s="28">
        <v>654</v>
      </c>
    </row>
    <row r="9" spans="1:8" x14ac:dyDescent="0.25">
      <c r="A9" s="20">
        <v>3</v>
      </c>
      <c r="B9" s="27">
        <v>44946</v>
      </c>
      <c r="C9" s="23">
        <v>6065</v>
      </c>
      <c r="D9" s="23">
        <v>2717</v>
      </c>
      <c r="E9" s="23">
        <v>3384</v>
      </c>
      <c r="F9" s="23">
        <v>1207</v>
      </c>
      <c r="G9" s="23">
        <v>781</v>
      </c>
      <c r="H9" s="28">
        <v>562</v>
      </c>
    </row>
    <row r="10" spans="1:8" x14ac:dyDescent="0.25">
      <c r="A10" s="20">
        <v>4</v>
      </c>
      <c r="B10" s="27">
        <v>44953</v>
      </c>
      <c r="C10" s="23">
        <v>4837</v>
      </c>
      <c r="D10" s="23">
        <v>2089</v>
      </c>
      <c r="E10" s="23">
        <v>2707</v>
      </c>
      <c r="F10" s="23">
        <v>834</v>
      </c>
      <c r="G10" s="23">
        <v>579</v>
      </c>
      <c r="H10" s="28">
        <v>407</v>
      </c>
    </row>
    <row r="11" spans="1:8" x14ac:dyDescent="0.25">
      <c r="A11" s="20">
        <v>5</v>
      </c>
      <c r="B11" s="27">
        <v>44960</v>
      </c>
      <c r="C11" s="23">
        <v>4523</v>
      </c>
      <c r="D11" s="23">
        <v>1876</v>
      </c>
      <c r="E11" s="23">
        <v>2465</v>
      </c>
      <c r="F11" s="23">
        <v>725</v>
      </c>
      <c r="G11" s="23">
        <v>499</v>
      </c>
      <c r="H11" s="28">
        <v>332</v>
      </c>
    </row>
    <row r="12" spans="1:8" x14ac:dyDescent="0.25">
      <c r="A12" s="20">
        <v>6</v>
      </c>
      <c r="B12" s="27">
        <v>44967</v>
      </c>
      <c r="C12" s="23">
        <v>4087</v>
      </c>
      <c r="D12" s="23">
        <v>1680</v>
      </c>
      <c r="E12" s="23">
        <v>2113</v>
      </c>
      <c r="F12" s="23">
        <v>615</v>
      </c>
      <c r="G12" s="23">
        <v>446</v>
      </c>
      <c r="H12" s="28">
        <v>305</v>
      </c>
    </row>
    <row r="13" spans="1:8" x14ac:dyDescent="0.25">
      <c r="A13" s="20">
        <v>7</v>
      </c>
      <c r="B13" s="27">
        <v>44974</v>
      </c>
      <c r="C13" s="23">
        <v>3805</v>
      </c>
      <c r="D13" s="23">
        <v>1560</v>
      </c>
      <c r="E13" s="23">
        <v>1968</v>
      </c>
      <c r="F13" s="23">
        <v>571</v>
      </c>
      <c r="G13" s="23">
        <v>416</v>
      </c>
      <c r="H13" s="28">
        <v>265</v>
      </c>
    </row>
    <row r="14" spans="1:8" x14ac:dyDescent="0.25">
      <c r="A14" s="20">
        <v>8</v>
      </c>
      <c r="B14" s="27">
        <v>44981</v>
      </c>
      <c r="C14" s="23">
        <v>3833</v>
      </c>
      <c r="D14" s="23">
        <v>1491</v>
      </c>
      <c r="E14" s="23">
        <v>1889</v>
      </c>
      <c r="F14" s="23">
        <v>493</v>
      </c>
      <c r="G14" s="23">
        <v>420</v>
      </c>
      <c r="H14" s="28">
        <v>280</v>
      </c>
    </row>
    <row r="15" spans="1:8" x14ac:dyDescent="0.25">
      <c r="A15" s="20">
        <v>9</v>
      </c>
      <c r="B15" s="27">
        <v>44988</v>
      </c>
      <c r="C15" s="23">
        <v>3767</v>
      </c>
      <c r="D15" s="23">
        <v>1448</v>
      </c>
      <c r="E15" s="23">
        <v>1910</v>
      </c>
      <c r="F15" s="23">
        <v>462</v>
      </c>
      <c r="G15" s="23">
        <v>513</v>
      </c>
      <c r="H15" s="28">
        <v>349</v>
      </c>
    </row>
    <row r="16" spans="1:8" x14ac:dyDescent="0.25">
      <c r="A16" s="20">
        <v>10</v>
      </c>
      <c r="B16" s="27">
        <v>44995</v>
      </c>
      <c r="C16" s="23">
        <v>3498</v>
      </c>
      <c r="D16" s="23">
        <v>1337</v>
      </c>
      <c r="E16" s="23">
        <v>1758</v>
      </c>
      <c r="F16" s="23">
        <v>421</v>
      </c>
      <c r="G16" s="23">
        <v>533</v>
      </c>
      <c r="H16" s="28">
        <v>363</v>
      </c>
    </row>
    <row r="17" spans="1:8" x14ac:dyDescent="0.25">
      <c r="A17" s="20">
        <v>11</v>
      </c>
      <c r="B17" s="27">
        <v>45002</v>
      </c>
      <c r="C17" s="23">
        <v>3779</v>
      </c>
      <c r="D17" s="23">
        <v>1460</v>
      </c>
      <c r="E17" s="23">
        <v>1843</v>
      </c>
      <c r="F17" s="23">
        <v>479</v>
      </c>
      <c r="G17" s="23">
        <v>559</v>
      </c>
      <c r="H17" s="28">
        <v>376</v>
      </c>
    </row>
    <row r="18" spans="1:8" x14ac:dyDescent="0.25">
      <c r="A18" s="20">
        <v>12</v>
      </c>
      <c r="B18" s="27">
        <v>45009</v>
      </c>
      <c r="C18" s="23">
        <v>3706</v>
      </c>
      <c r="D18" s="23">
        <v>1399</v>
      </c>
      <c r="E18" s="23">
        <v>1894</v>
      </c>
      <c r="F18" s="23">
        <v>463</v>
      </c>
      <c r="G18" s="23">
        <v>624</v>
      </c>
      <c r="H18" s="28">
        <v>425</v>
      </c>
    </row>
    <row r="19" spans="1:8" x14ac:dyDescent="0.25">
      <c r="A19" s="20">
        <v>13</v>
      </c>
      <c r="B19" s="27">
        <v>45016</v>
      </c>
      <c r="C19" s="23">
        <v>3667</v>
      </c>
      <c r="D19" s="23">
        <v>1361</v>
      </c>
      <c r="E19" s="23">
        <v>1870</v>
      </c>
      <c r="F19" s="23">
        <v>465</v>
      </c>
      <c r="G19" s="23">
        <v>634</v>
      </c>
      <c r="H19" s="28">
        <v>432</v>
      </c>
    </row>
    <row r="20" spans="1:8" x14ac:dyDescent="0.25">
      <c r="A20" s="20">
        <v>14</v>
      </c>
      <c r="B20" s="27">
        <v>45023</v>
      </c>
      <c r="C20" s="23">
        <v>3225</v>
      </c>
      <c r="D20" s="23">
        <v>1180</v>
      </c>
      <c r="E20" s="23">
        <v>1643</v>
      </c>
      <c r="F20" s="23">
        <v>415</v>
      </c>
      <c r="G20" s="23">
        <v>513</v>
      </c>
      <c r="H20" s="28">
        <v>361</v>
      </c>
    </row>
    <row r="21" spans="1:8" x14ac:dyDescent="0.25">
      <c r="A21" s="20">
        <v>15</v>
      </c>
      <c r="B21" s="27">
        <v>45030</v>
      </c>
      <c r="C21" s="23">
        <v>3105</v>
      </c>
      <c r="D21" s="23">
        <v>1173</v>
      </c>
      <c r="E21" s="23">
        <v>1569</v>
      </c>
      <c r="F21" s="23">
        <v>391</v>
      </c>
      <c r="G21" s="23">
        <v>465</v>
      </c>
      <c r="H21" s="28">
        <v>306</v>
      </c>
    </row>
    <row r="22" spans="1:8" x14ac:dyDescent="0.25">
      <c r="A22" s="20">
        <v>16</v>
      </c>
      <c r="B22" s="27">
        <v>45037</v>
      </c>
      <c r="C22" s="23">
        <v>3793</v>
      </c>
      <c r="D22" s="23">
        <v>1456</v>
      </c>
      <c r="E22" s="23">
        <v>1937</v>
      </c>
      <c r="F22" s="23">
        <v>481</v>
      </c>
      <c r="G22" s="23">
        <v>538</v>
      </c>
      <c r="H22" s="28">
        <v>358</v>
      </c>
    </row>
    <row r="23" spans="1:8" x14ac:dyDescent="0.25">
      <c r="A23" s="20">
        <v>17</v>
      </c>
      <c r="B23" s="27">
        <v>45044</v>
      </c>
      <c r="C23" s="23">
        <v>3699</v>
      </c>
      <c r="D23" s="23">
        <v>1449</v>
      </c>
      <c r="E23" s="23">
        <v>1831</v>
      </c>
      <c r="F23" s="23">
        <v>471</v>
      </c>
      <c r="G23" s="23">
        <v>459</v>
      </c>
      <c r="H23" s="28">
        <v>301</v>
      </c>
    </row>
    <row r="24" spans="1:8" x14ac:dyDescent="0.25">
      <c r="A24" s="20">
        <v>18</v>
      </c>
      <c r="B24" s="27">
        <v>45051</v>
      </c>
      <c r="C24" s="23">
        <v>2933</v>
      </c>
      <c r="D24" s="23">
        <v>1139</v>
      </c>
      <c r="E24" s="23">
        <v>1431</v>
      </c>
      <c r="F24" s="23">
        <v>378</v>
      </c>
      <c r="G24" s="23">
        <v>310</v>
      </c>
      <c r="H24" s="28">
        <v>203</v>
      </c>
    </row>
    <row r="25" spans="1:8" x14ac:dyDescent="0.25">
      <c r="A25" s="20">
        <v>19</v>
      </c>
      <c r="B25" s="27">
        <v>45058</v>
      </c>
      <c r="C25" s="23">
        <v>3064</v>
      </c>
      <c r="D25" s="23">
        <v>1219</v>
      </c>
      <c r="E25" s="23">
        <v>1484</v>
      </c>
      <c r="F25" s="23">
        <v>421</v>
      </c>
      <c r="G25" s="23">
        <v>309</v>
      </c>
      <c r="H25" s="28">
        <v>207</v>
      </c>
    </row>
    <row r="26" spans="1:8" x14ac:dyDescent="0.25">
      <c r="A26" s="20">
        <v>20</v>
      </c>
      <c r="B26" s="27">
        <v>45065</v>
      </c>
      <c r="C26" s="23">
        <v>3476</v>
      </c>
      <c r="D26" s="23">
        <v>1366</v>
      </c>
      <c r="E26" s="23">
        <v>1680</v>
      </c>
      <c r="F26" s="23">
        <v>442</v>
      </c>
      <c r="G26" s="23">
        <v>322</v>
      </c>
      <c r="H26" s="28">
        <v>204</v>
      </c>
    </row>
    <row r="27" spans="1:8" x14ac:dyDescent="0.25">
      <c r="A27" s="20">
        <v>21</v>
      </c>
      <c r="B27" s="27">
        <v>45072</v>
      </c>
      <c r="C27" s="23">
        <v>3169</v>
      </c>
      <c r="D27" s="23">
        <v>1224</v>
      </c>
      <c r="E27" s="23">
        <v>1505</v>
      </c>
      <c r="F27" s="23">
        <v>397</v>
      </c>
      <c r="G27" s="23">
        <v>262</v>
      </c>
      <c r="H27" s="28">
        <v>169</v>
      </c>
    </row>
    <row r="28" spans="1:8" x14ac:dyDescent="0.25">
      <c r="A28" s="20">
        <v>22</v>
      </c>
      <c r="B28" s="27">
        <v>45079</v>
      </c>
      <c r="C28" s="23">
        <v>2536</v>
      </c>
      <c r="D28" s="23">
        <v>987</v>
      </c>
      <c r="E28" s="23">
        <v>1230</v>
      </c>
      <c r="F28" s="23">
        <v>306</v>
      </c>
      <c r="G28" s="23">
        <v>189</v>
      </c>
      <c r="H28" s="28">
        <v>124</v>
      </c>
    </row>
    <row r="29" spans="1:8" x14ac:dyDescent="0.25">
      <c r="A29" s="20">
        <v>23</v>
      </c>
      <c r="B29" s="27">
        <v>45086</v>
      </c>
      <c r="C29" s="23">
        <v>3171</v>
      </c>
      <c r="D29" s="23">
        <v>1238</v>
      </c>
      <c r="E29" s="23">
        <v>1505</v>
      </c>
      <c r="F29" s="23">
        <v>366</v>
      </c>
      <c r="G29" s="23">
        <v>211</v>
      </c>
      <c r="H29" s="28">
        <v>136</v>
      </c>
    </row>
    <row r="30" spans="1:8" x14ac:dyDescent="0.25">
      <c r="A30" s="20">
        <v>24</v>
      </c>
      <c r="B30" s="27">
        <v>45093</v>
      </c>
      <c r="C30" s="23">
        <v>3050</v>
      </c>
      <c r="D30" s="23">
        <v>1164</v>
      </c>
      <c r="E30" s="23">
        <v>1431</v>
      </c>
      <c r="F30" s="23">
        <v>377</v>
      </c>
      <c r="G30" s="23">
        <v>156</v>
      </c>
      <c r="H30" s="28">
        <v>107</v>
      </c>
    </row>
    <row r="31" spans="1:8" x14ac:dyDescent="0.25">
      <c r="A31" s="20">
        <v>25</v>
      </c>
      <c r="B31" s="27">
        <v>45100</v>
      </c>
      <c r="C31" s="23">
        <v>3067</v>
      </c>
      <c r="D31" s="23">
        <v>1195</v>
      </c>
      <c r="E31" s="23">
        <v>1425</v>
      </c>
      <c r="F31" s="23">
        <v>365</v>
      </c>
      <c r="G31" s="23">
        <v>154</v>
      </c>
      <c r="H31" s="28">
        <v>98</v>
      </c>
    </row>
    <row r="32" spans="1:8" x14ac:dyDescent="0.25">
      <c r="A32" s="20">
        <v>26</v>
      </c>
      <c r="B32" s="27">
        <v>45107</v>
      </c>
      <c r="C32" s="23">
        <v>2983</v>
      </c>
      <c r="D32" s="23">
        <v>1155</v>
      </c>
      <c r="E32" s="23">
        <v>1343</v>
      </c>
      <c r="F32" s="23">
        <v>331</v>
      </c>
      <c r="G32" s="23">
        <v>129</v>
      </c>
      <c r="H32" s="28">
        <v>79</v>
      </c>
    </row>
    <row r="33" spans="1:8" x14ac:dyDescent="0.25">
      <c r="A33" s="20">
        <v>27</v>
      </c>
      <c r="B33" s="27">
        <v>45114</v>
      </c>
      <c r="C33" s="23">
        <v>2659</v>
      </c>
      <c r="D33" s="23">
        <v>1045</v>
      </c>
      <c r="E33" s="23">
        <v>1201</v>
      </c>
      <c r="F33" s="23">
        <v>305</v>
      </c>
      <c r="G33" s="23">
        <v>95</v>
      </c>
      <c r="H33" s="28">
        <v>56</v>
      </c>
    </row>
    <row r="34" spans="1:8" x14ac:dyDescent="0.25">
      <c r="A34" s="20">
        <v>28</v>
      </c>
      <c r="B34" s="27">
        <v>45121</v>
      </c>
      <c r="C34" s="23">
        <v>2644</v>
      </c>
      <c r="D34" s="23">
        <v>988</v>
      </c>
      <c r="E34" s="23">
        <v>1183</v>
      </c>
      <c r="F34" s="23">
        <v>295</v>
      </c>
      <c r="G34" s="23">
        <v>77</v>
      </c>
      <c r="H34" s="28">
        <v>47</v>
      </c>
    </row>
    <row r="35" spans="1:8" x14ac:dyDescent="0.25">
      <c r="A35" s="20">
        <v>29</v>
      </c>
      <c r="B35" s="27">
        <v>45128</v>
      </c>
      <c r="C35" s="23">
        <v>2640</v>
      </c>
      <c r="D35" s="23">
        <v>977</v>
      </c>
      <c r="E35" s="23">
        <v>1211</v>
      </c>
      <c r="F35" s="23">
        <v>297</v>
      </c>
      <c r="G35" s="23">
        <v>70</v>
      </c>
      <c r="H35" s="28">
        <v>39</v>
      </c>
    </row>
    <row r="36" spans="1:8" x14ac:dyDescent="0.25">
      <c r="A36" s="20">
        <v>30</v>
      </c>
      <c r="B36" s="27">
        <v>45135</v>
      </c>
      <c r="C36" s="23">
        <v>2516</v>
      </c>
      <c r="D36" s="23">
        <v>1000</v>
      </c>
      <c r="E36" s="23">
        <v>1081</v>
      </c>
      <c r="F36" s="23">
        <v>290</v>
      </c>
      <c r="G36" s="23">
        <v>63</v>
      </c>
      <c r="H36" s="28">
        <v>39</v>
      </c>
    </row>
    <row r="37" spans="1:8" x14ac:dyDescent="0.25">
      <c r="A37" s="20">
        <v>31</v>
      </c>
      <c r="B37" s="27">
        <v>45142</v>
      </c>
      <c r="C37" s="23">
        <v>2623</v>
      </c>
      <c r="D37" s="23">
        <v>1002</v>
      </c>
      <c r="E37" s="23">
        <v>1150</v>
      </c>
      <c r="F37" s="23">
        <v>320</v>
      </c>
      <c r="G37" s="23">
        <v>68</v>
      </c>
      <c r="H37" s="28">
        <v>47</v>
      </c>
    </row>
    <row r="38" spans="1:8" x14ac:dyDescent="0.25">
      <c r="A38" s="20">
        <v>32</v>
      </c>
      <c r="B38" s="27">
        <v>45149</v>
      </c>
      <c r="C38" s="23">
        <v>2685</v>
      </c>
      <c r="D38" s="23">
        <v>1031</v>
      </c>
      <c r="E38" s="23">
        <v>1184</v>
      </c>
      <c r="F38" s="23">
        <v>291</v>
      </c>
      <c r="G38" s="23">
        <v>108</v>
      </c>
      <c r="H38" s="28">
        <v>74</v>
      </c>
    </row>
    <row r="39" spans="1:8" x14ac:dyDescent="0.25">
      <c r="A39" s="20">
        <v>33</v>
      </c>
      <c r="B39" s="27">
        <v>45156</v>
      </c>
      <c r="C39" s="23">
        <v>2746</v>
      </c>
      <c r="D39" s="23">
        <v>1019</v>
      </c>
      <c r="E39" s="23">
        <v>1230</v>
      </c>
      <c r="F39" s="23">
        <v>350</v>
      </c>
      <c r="G39" s="23">
        <v>125</v>
      </c>
      <c r="H39" s="28">
        <v>86</v>
      </c>
    </row>
    <row r="40" spans="1:8" x14ac:dyDescent="0.25">
      <c r="A40" s="20">
        <v>34</v>
      </c>
      <c r="B40" s="27">
        <v>45163</v>
      </c>
      <c r="C40" s="23">
        <v>2821</v>
      </c>
      <c r="D40" s="23">
        <v>1047</v>
      </c>
      <c r="E40" s="23">
        <v>1352</v>
      </c>
      <c r="F40" s="23">
        <v>348</v>
      </c>
      <c r="G40" s="23">
        <v>203</v>
      </c>
      <c r="H40" s="28">
        <v>136</v>
      </c>
    </row>
    <row r="41" spans="1:8" x14ac:dyDescent="0.25">
      <c r="A41" s="20">
        <v>35</v>
      </c>
      <c r="B41" s="27">
        <v>45170</v>
      </c>
      <c r="C41" s="23">
        <v>2340</v>
      </c>
      <c r="D41" s="23">
        <v>843</v>
      </c>
      <c r="E41" s="23">
        <v>1078</v>
      </c>
      <c r="F41" s="23">
        <v>281</v>
      </c>
      <c r="G41" s="23">
        <v>155</v>
      </c>
      <c r="H41" s="28">
        <v>108</v>
      </c>
    </row>
    <row r="42" spans="1:8" x14ac:dyDescent="0.25">
      <c r="A42" s="19"/>
      <c r="B42" s="18"/>
      <c r="C42" s="10"/>
      <c r="D42" s="10"/>
      <c r="E42" s="10"/>
      <c r="F42" s="10"/>
      <c r="G42" s="10"/>
      <c r="H42" s="10"/>
    </row>
  </sheetData>
  <sheetProtection sheet="1" formatCells="0" formatColumns="0"/>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19"/>
  <sheetViews>
    <sheetView showGridLines="0" workbookViewId="0"/>
  </sheetViews>
  <sheetFormatPr defaultColWidth="10.90625" defaultRowHeight="15" x14ac:dyDescent="0.25"/>
  <cols>
    <col min="1" max="1" width="14.1796875" customWidth="1"/>
    <col min="2" max="2" width="13.1796875" customWidth="1"/>
    <col min="3" max="23" width="8.453125" customWidth="1"/>
  </cols>
  <sheetData>
    <row r="1" spans="1:23" ht="17.399999999999999" x14ac:dyDescent="0.3">
      <c r="A1" s="1" t="s">
        <v>163</v>
      </c>
    </row>
    <row r="2" spans="1:23" ht="17.399999999999999" x14ac:dyDescent="0.3">
      <c r="A2" s="1" t="s">
        <v>164</v>
      </c>
    </row>
    <row r="3" spans="1:23" x14ac:dyDescent="0.25">
      <c r="A3" t="s">
        <v>129</v>
      </c>
    </row>
    <row r="4" spans="1:23" x14ac:dyDescent="0.25">
      <c r="A4" t="s">
        <v>114</v>
      </c>
    </row>
    <row r="5" spans="1:23" x14ac:dyDescent="0.25">
      <c r="A5" t="s">
        <v>115</v>
      </c>
    </row>
    <row r="6" spans="1:23" ht="15.6" x14ac:dyDescent="0.3">
      <c r="A6" s="3" t="s">
        <v>165</v>
      </c>
    </row>
    <row r="7" spans="1:23" ht="15.6" x14ac:dyDescent="0.25">
      <c r="A7" s="12" t="s">
        <v>116</v>
      </c>
      <c r="B7" s="29" t="s">
        <v>131</v>
      </c>
      <c r="C7" s="21" t="s">
        <v>132</v>
      </c>
      <c r="D7" s="21" t="s">
        <v>133</v>
      </c>
      <c r="E7" s="21" t="s">
        <v>134</v>
      </c>
      <c r="F7" s="21" t="s">
        <v>135</v>
      </c>
      <c r="G7" s="21" t="s">
        <v>136</v>
      </c>
      <c r="H7" s="21" t="s">
        <v>137</v>
      </c>
      <c r="I7" s="21" t="s">
        <v>138</v>
      </c>
      <c r="J7" s="21" t="s">
        <v>139</v>
      </c>
      <c r="K7" s="21" t="s">
        <v>140</v>
      </c>
      <c r="L7" s="21" t="s">
        <v>141</v>
      </c>
      <c r="M7" s="21" t="s">
        <v>142</v>
      </c>
      <c r="N7" s="21" t="s">
        <v>143</v>
      </c>
      <c r="O7" s="21" t="s">
        <v>144</v>
      </c>
      <c r="P7" s="21" t="s">
        <v>145</v>
      </c>
      <c r="Q7" s="21" t="s">
        <v>146</v>
      </c>
      <c r="R7" s="21" t="s">
        <v>147</v>
      </c>
      <c r="S7" s="21" t="s">
        <v>148</v>
      </c>
      <c r="T7" s="21" t="s">
        <v>149</v>
      </c>
      <c r="U7" s="21" t="s">
        <v>150</v>
      </c>
      <c r="V7" s="21" t="s">
        <v>151</v>
      </c>
      <c r="W7" s="24" t="s">
        <v>152</v>
      </c>
    </row>
    <row r="8" spans="1:23" x14ac:dyDescent="0.25">
      <c r="A8" s="19">
        <v>1</v>
      </c>
      <c r="B8" s="25">
        <v>44932</v>
      </c>
      <c r="C8" s="22">
        <v>739</v>
      </c>
      <c r="D8" s="22">
        <v>0</v>
      </c>
      <c r="E8" s="22">
        <v>0</v>
      </c>
      <c r="F8" s="22">
        <v>0</v>
      </c>
      <c r="G8" s="22">
        <v>0</v>
      </c>
      <c r="H8" s="22">
        <v>0</v>
      </c>
      <c r="I8" s="22">
        <v>0</v>
      </c>
      <c r="J8" s="22">
        <v>1</v>
      </c>
      <c r="K8" s="22">
        <v>1</v>
      </c>
      <c r="L8" s="22">
        <v>0</v>
      </c>
      <c r="M8" s="22">
        <v>4</v>
      </c>
      <c r="N8" s="22">
        <v>2</v>
      </c>
      <c r="O8" s="22">
        <v>10</v>
      </c>
      <c r="P8" s="22">
        <v>14</v>
      </c>
      <c r="Q8" s="22">
        <v>28</v>
      </c>
      <c r="R8" s="22">
        <v>24</v>
      </c>
      <c r="S8" s="22">
        <v>62</v>
      </c>
      <c r="T8" s="22">
        <v>112</v>
      </c>
      <c r="U8" s="22">
        <v>134</v>
      </c>
      <c r="V8" s="22">
        <v>139</v>
      </c>
      <c r="W8" s="26">
        <v>208</v>
      </c>
    </row>
    <row r="9" spans="1:23" x14ac:dyDescent="0.25">
      <c r="A9" s="20">
        <v>2</v>
      </c>
      <c r="B9" s="27">
        <v>44939</v>
      </c>
      <c r="C9" s="23">
        <v>922</v>
      </c>
      <c r="D9" s="23">
        <v>0</v>
      </c>
      <c r="E9" s="23">
        <v>1</v>
      </c>
      <c r="F9" s="23">
        <v>0</v>
      </c>
      <c r="G9" s="23">
        <v>0</v>
      </c>
      <c r="H9" s="23">
        <v>0</v>
      </c>
      <c r="I9" s="23">
        <v>0</v>
      </c>
      <c r="J9" s="23">
        <v>0</v>
      </c>
      <c r="K9" s="23">
        <v>2</v>
      </c>
      <c r="L9" s="23">
        <v>1</v>
      </c>
      <c r="M9" s="23">
        <v>5</v>
      </c>
      <c r="N9" s="23">
        <v>4</v>
      </c>
      <c r="O9" s="23">
        <v>16</v>
      </c>
      <c r="P9" s="23">
        <v>17</v>
      </c>
      <c r="Q9" s="23">
        <v>25</v>
      </c>
      <c r="R9" s="23">
        <v>45</v>
      </c>
      <c r="S9" s="23">
        <v>77</v>
      </c>
      <c r="T9" s="23">
        <v>96</v>
      </c>
      <c r="U9" s="23">
        <v>140</v>
      </c>
      <c r="V9" s="23">
        <v>227</v>
      </c>
      <c r="W9" s="28">
        <v>266</v>
      </c>
    </row>
    <row r="10" spans="1:23" x14ac:dyDescent="0.25">
      <c r="A10" s="20">
        <v>3</v>
      </c>
      <c r="B10" s="27">
        <v>44946</v>
      </c>
      <c r="C10" s="23">
        <v>781</v>
      </c>
      <c r="D10" s="23">
        <v>0</v>
      </c>
      <c r="E10" s="23">
        <v>0</v>
      </c>
      <c r="F10" s="23">
        <v>0</v>
      </c>
      <c r="G10" s="23">
        <v>0</v>
      </c>
      <c r="H10" s="23">
        <v>0</v>
      </c>
      <c r="I10" s="23">
        <v>0</v>
      </c>
      <c r="J10" s="23">
        <v>1</v>
      </c>
      <c r="K10" s="23">
        <v>3</v>
      </c>
      <c r="L10" s="23">
        <v>2</v>
      </c>
      <c r="M10" s="23">
        <v>4</v>
      </c>
      <c r="N10" s="23">
        <v>4</v>
      </c>
      <c r="O10" s="23">
        <v>9</v>
      </c>
      <c r="P10" s="23">
        <v>20</v>
      </c>
      <c r="Q10" s="23">
        <v>23</v>
      </c>
      <c r="R10" s="23">
        <v>33</v>
      </c>
      <c r="S10" s="23">
        <v>43</v>
      </c>
      <c r="T10" s="23">
        <v>110</v>
      </c>
      <c r="U10" s="23">
        <v>136</v>
      </c>
      <c r="V10" s="23">
        <v>166</v>
      </c>
      <c r="W10" s="28">
        <v>227</v>
      </c>
    </row>
    <row r="11" spans="1:23" x14ac:dyDescent="0.25">
      <c r="A11" s="20">
        <v>4</v>
      </c>
      <c r="B11" s="27">
        <v>44953</v>
      </c>
      <c r="C11" s="23">
        <v>579</v>
      </c>
      <c r="D11" s="23">
        <v>0</v>
      </c>
      <c r="E11" s="23">
        <v>0</v>
      </c>
      <c r="F11" s="23">
        <v>0</v>
      </c>
      <c r="G11" s="23">
        <v>1</v>
      </c>
      <c r="H11" s="23">
        <v>0</v>
      </c>
      <c r="I11" s="23">
        <v>0</v>
      </c>
      <c r="J11" s="23">
        <v>0</v>
      </c>
      <c r="K11" s="23">
        <v>1</v>
      </c>
      <c r="L11" s="23">
        <v>2</v>
      </c>
      <c r="M11" s="23">
        <v>1</v>
      </c>
      <c r="N11" s="23">
        <v>4</v>
      </c>
      <c r="O11" s="23">
        <v>6</v>
      </c>
      <c r="P11" s="23">
        <v>6</v>
      </c>
      <c r="Q11" s="23">
        <v>15</v>
      </c>
      <c r="R11" s="23">
        <v>21</v>
      </c>
      <c r="S11" s="23">
        <v>41</v>
      </c>
      <c r="T11" s="23">
        <v>68</v>
      </c>
      <c r="U11" s="23">
        <v>117</v>
      </c>
      <c r="V11" s="23">
        <v>150</v>
      </c>
      <c r="W11" s="28">
        <v>146</v>
      </c>
    </row>
    <row r="12" spans="1:23" x14ac:dyDescent="0.25">
      <c r="A12" s="20">
        <v>5</v>
      </c>
      <c r="B12" s="27">
        <v>44960</v>
      </c>
      <c r="C12" s="23">
        <v>499</v>
      </c>
      <c r="D12" s="23">
        <v>0</v>
      </c>
      <c r="E12" s="23">
        <v>0</v>
      </c>
      <c r="F12" s="23">
        <v>0</v>
      </c>
      <c r="G12" s="23">
        <v>1</v>
      </c>
      <c r="H12" s="23">
        <v>0</v>
      </c>
      <c r="I12" s="23">
        <v>0</v>
      </c>
      <c r="J12" s="23">
        <v>0</v>
      </c>
      <c r="K12" s="23">
        <v>0</v>
      </c>
      <c r="L12" s="23">
        <v>4</v>
      </c>
      <c r="M12" s="23">
        <v>1</v>
      </c>
      <c r="N12" s="23">
        <v>6</v>
      </c>
      <c r="O12" s="23">
        <v>4</v>
      </c>
      <c r="P12" s="23">
        <v>9</v>
      </c>
      <c r="Q12" s="23">
        <v>14</v>
      </c>
      <c r="R12" s="23">
        <v>30</v>
      </c>
      <c r="S12" s="23">
        <v>30</v>
      </c>
      <c r="T12" s="23">
        <v>68</v>
      </c>
      <c r="U12" s="23">
        <v>96</v>
      </c>
      <c r="V12" s="23">
        <v>97</v>
      </c>
      <c r="W12" s="28">
        <v>139</v>
      </c>
    </row>
    <row r="13" spans="1:23" x14ac:dyDescent="0.25">
      <c r="A13" s="20">
        <v>6</v>
      </c>
      <c r="B13" s="27">
        <v>44967</v>
      </c>
      <c r="C13" s="23">
        <v>446</v>
      </c>
      <c r="D13" s="23">
        <v>1</v>
      </c>
      <c r="E13" s="23">
        <v>0</v>
      </c>
      <c r="F13" s="23">
        <v>0</v>
      </c>
      <c r="G13" s="23">
        <v>0</v>
      </c>
      <c r="H13" s="23">
        <v>0</v>
      </c>
      <c r="I13" s="23">
        <v>0</v>
      </c>
      <c r="J13" s="23">
        <v>0</v>
      </c>
      <c r="K13" s="23">
        <v>2</v>
      </c>
      <c r="L13" s="23">
        <v>1</v>
      </c>
      <c r="M13" s="23">
        <v>0</v>
      </c>
      <c r="N13" s="23">
        <v>1</v>
      </c>
      <c r="O13" s="23">
        <v>3</v>
      </c>
      <c r="P13" s="23">
        <v>7</v>
      </c>
      <c r="Q13" s="23">
        <v>13</v>
      </c>
      <c r="R13" s="23">
        <v>19</v>
      </c>
      <c r="S13" s="23">
        <v>44</v>
      </c>
      <c r="T13" s="23">
        <v>63</v>
      </c>
      <c r="U13" s="23">
        <v>74</v>
      </c>
      <c r="V13" s="23">
        <v>91</v>
      </c>
      <c r="W13" s="28">
        <v>127</v>
      </c>
    </row>
    <row r="14" spans="1:23" x14ac:dyDescent="0.25">
      <c r="A14" s="20">
        <v>7</v>
      </c>
      <c r="B14" s="27">
        <v>44974</v>
      </c>
      <c r="C14" s="23">
        <v>416</v>
      </c>
      <c r="D14" s="23">
        <v>0</v>
      </c>
      <c r="E14" s="23">
        <v>0</v>
      </c>
      <c r="F14" s="23">
        <v>0</v>
      </c>
      <c r="G14" s="23">
        <v>0</v>
      </c>
      <c r="H14" s="23">
        <v>0</v>
      </c>
      <c r="I14" s="23">
        <v>0</v>
      </c>
      <c r="J14" s="23">
        <v>0</v>
      </c>
      <c r="K14" s="23">
        <v>0</v>
      </c>
      <c r="L14" s="23">
        <v>0</v>
      </c>
      <c r="M14" s="23">
        <v>2</v>
      </c>
      <c r="N14" s="23">
        <v>3</v>
      </c>
      <c r="O14" s="23">
        <v>2</v>
      </c>
      <c r="P14" s="23">
        <v>13</v>
      </c>
      <c r="Q14" s="23">
        <v>16</v>
      </c>
      <c r="R14" s="23">
        <v>22</v>
      </c>
      <c r="S14" s="23">
        <v>39</v>
      </c>
      <c r="T14" s="23">
        <v>53</v>
      </c>
      <c r="U14" s="23">
        <v>75</v>
      </c>
      <c r="V14" s="23">
        <v>92</v>
      </c>
      <c r="W14" s="28">
        <v>99</v>
      </c>
    </row>
    <row r="15" spans="1:23" x14ac:dyDescent="0.25">
      <c r="A15" s="20">
        <v>8</v>
      </c>
      <c r="B15" s="27">
        <v>44981</v>
      </c>
      <c r="C15" s="23">
        <v>420</v>
      </c>
      <c r="D15" s="23">
        <v>0</v>
      </c>
      <c r="E15" s="23">
        <v>0</v>
      </c>
      <c r="F15" s="23">
        <v>0</v>
      </c>
      <c r="G15" s="23">
        <v>0</v>
      </c>
      <c r="H15" s="23">
        <v>0</v>
      </c>
      <c r="I15" s="23">
        <v>0</v>
      </c>
      <c r="J15" s="23">
        <v>2</v>
      </c>
      <c r="K15" s="23">
        <v>0</v>
      </c>
      <c r="L15" s="23">
        <v>0</v>
      </c>
      <c r="M15" s="23">
        <v>4</v>
      </c>
      <c r="N15" s="23">
        <v>3</v>
      </c>
      <c r="O15" s="23">
        <v>7</v>
      </c>
      <c r="P15" s="23">
        <v>11</v>
      </c>
      <c r="Q15" s="23">
        <v>14</v>
      </c>
      <c r="R15" s="23">
        <v>22</v>
      </c>
      <c r="S15" s="23">
        <v>30</v>
      </c>
      <c r="T15" s="23">
        <v>52</v>
      </c>
      <c r="U15" s="23">
        <v>76</v>
      </c>
      <c r="V15" s="23">
        <v>86</v>
      </c>
      <c r="W15" s="28">
        <v>113</v>
      </c>
    </row>
    <row r="16" spans="1:23" x14ac:dyDescent="0.25">
      <c r="A16" s="20">
        <v>9</v>
      </c>
      <c r="B16" s="27">
        <v>44988</v>
      </c>
      <c r="C16" s="23">
        <v>513</v>
      </c>
      <c r="D16" s="23">
        <v>0</v>
      </c>
      <c r="E16" s="23">
        <v>0</v>
      </c>
      <c r="F16" s="23">
        <v>0</v>
      </c>
      <c r="G16" s="23">
        <v>0</v>
      </c>
      <c r="H16" s="23">
        <v>0</v>
      </c>
      <c r="I16" s="23">
        <v>0</v>
      </c>
      <c r="J16" s="23">
        <v>0</v>
      </c>
      <c r="K16" s="23">
        <v>0</v>
      </c>
      <c r="L16" s="23">
        <v>3</v>
      </c>
      <c r="M16" s="23">
        <v>1</v>
      </c>
      <c r="N16" s="23">
        <v>0</v>
      </c>
      <c r="O16" s="23">
        <v>7</v>
      </c>
      <c r="P16" s="23">
        <v>11</v>
      </c>
      <c r="Q16" s="23">
        <v>9</v>
      </c>
      <c r="R16" s="23">
        <v>22</v>
      </c>
      <c r="S16" s="23">
        <v>46</v>
      </c>
      <c r="T16" s="23">
        <v>75</v>
      </c>
      <c r="U16" s="23">
        <v>103</v>
      </c>
      <c r="V16" s="23">
        <v>107</v>
      </c>
      <c r="W16" s="28">
        <v>129</v>
      </c>
    </row>
    <row r="17" spans="1:23" x14ac:dyDescent="0.25">
      <c r="A17" s="20">
        <v>10</v>
      </c>
      <c r="B17" s="27">
        <v>44995</v>
      </c>
      <c r="C17" s="23">
        <v>533</v>
      </c>
      <c r="D17" s="23">
        <v>0</v>
      </c>
      <c r="E17" s="23">
        <v>0</v>
      </c>
      <c r="F17" s="23">
        <v>0</v>
      </c>
      <c r="G17" s="23">
        <v>1</v>
      </c>
      <c r="H17" s="23">
        <v>0</v>
      </c>
      <c r="I17" s="23">
        <v>2</v>
      </c>
      <c r="J17" s="23">
        <v>0</v>
      </c>
      <c r="K17" s="23">
        <v>0</v>
      </c>
      <c r="L17" s="23">
        <v>1</v>
      </c>
      <c r="M17" s="23">
        <v>0</v>
      </c>
      <c r="N17" s="23">
        <v>5</v>
      </c>
      <c r="O17" s="23">
        <v>8</v>
      </c>
      <c r="P17" s="23">
        <v>10</v>
      </c>
      <c r="Q17" s="23">
        <v>12</v>
      </c>
      <c r="R17" s="23">
        <v>31</v>
      </c>
      <c r="S17" s="23">
        <v>33</v>
      </c>
      <c r="T17" s="23">
        <v>72</v>
      </c>
      <c r="U17" s="23">
        <v>101</v>
      </c>
      <c r="V17" s="23">
        <v>133</v>
      </c>
      <c r="W17" s="28">
        <v>124</v>
      </c>
    </row>
    <row r="18" spans="1:23" x14ac:dyDescent="0.25">
      <c r="A18" s="20">
        <v>11</v>
      </c>
      <c r="B18" s="27">
        <v>45002</v>
      </c>
      <c r="C18" s="23">
        <v>559</v>
      </c>
      <c r="D18" s="23">
        <v>0</v>
      </c>
      <c r="E18" s="23">
        <v>0</v>
      </c>
      <c r="F18" s="23">
        <v>1</v>
      </c>
      <c r="G18" s="23">
        <v>0</v>
      </c>
      <c r="H18" s="23">
        <v>0</v>
      </c>
      <c r="I18" s="23">
        <v>0</v>
      </c>
      <c r="J18" s="23">
        <v>0</v>
      </c>
      <c r="K18" s="23">
        <v>2</v>
      </c>
      <c r="L18" s="23">
        <v>5</v>
      </c>
      <c r="M18" s="23">
        <v>1</v>
      </c>
      <c r="N18" s="23">
        <v>3</v>
      </c>
      <c r="O18" s="23">
        <v>6</v>
      </c>
      <c r="P18" s="23">
        <v>10</v>
      </c>
      <c r="Q18" s="23">
        <v>12</v>
      </c>
      <c r="R18" s="23">
        <v>32</v>
      </c>
      <c r="S18" s="23">
        <v>41</v>
      </c>
      <c r="T18" s="23">
        <v>75</v>
      </c>
      <c r="U18" s="23">
        <v>98</v>
      </c>
      <c r="V18" s="23">
        <v>129</v>
      </c>
      <c r="W18" s="28">
        <v>144</v>
      </c>
    </row>
    <row r="19" spans="1:23" x14ac:dyDescent="0.25">
      <c r="A19" s="20">
        <v>12</v>
      </c>
      <c r="B19" s="27">
        <v>45009</v>
      </c>
      <c r="C19" s="23">
        <v>624</v>
      </c>
      <c r="D19" s="23">
        <v>0</v>
      </c>
      <c r="E19" s="23">
        <v>0</v>
      </c>
      <c r="F19" s="23">
        <v>1</v>
      </c>
      <c r="G19" s="23">
        <v>0</v>
      </c>
      <c r="H19" s="23">
        <v>1</v>
      </c>
      <c r="I19" s="23">
        <v>0</v>
      </c>
      <c r="J19" s="23">
        <v>1</v>
      </c>
      <c r="K19" s="23">
        <v>0</v>
      </c>
      <c r="L19" s="23">
        <v>2</v>
      </c>
      <c r="M19" s="23">
        <v>4</v>
      </c>
      <c r="N19" s="23">
        <v>7</v>
      </c>
      <c r="O19" s="23">
        <v>5</v>
      </c>
      <c r="P19" s="23">
        <v>8</v>
      </c>
      <c r="Q19" s="23">
        <v>12</v>
      </c>
      <c r="R19" s="23">
        <v>33</v>
      </c>
      <c r="S19" s="23">
        <v>48</v>
      </c>
      <c r="T19" s="23">
        <v>78</v>
      </c>
      <c r="U19" s="23">
        <v>112</v>
      </c>
      <c r="V19" s="23">
        <v>137</v>
      </c>
      <c r="W19" s="28">
        <v>175</v>
      </c>
    </row>
    <row r="20" spans="1:23" x14ac:dyDescent="0.25">
      <c r="A20" s="20">
        <v>13</v>
      </c>
      <c r="B20" s="27">
        <v>45016</v>
      </c>
      <c r="C20" s="23">
        <v>634</v>
      </c>
      <c r="D20" s="23">
        <v>0</v>
      </c>
      <c r="E20" s="23">
        <v>0</v>
      </c>
      <c r="F20" s="23">
        <v>0</v>
      </c>
      <c r="G20" s="23">
        <v>0</v>
      </c>
      <c r="H20" s="23">
        <v>0</v>
      </c>
      <c r="I20" s="23">
        <v>0</v>
      </c>
      <c r="J20" s="23">
        <v>1</v>
      </c>
      <c r="K20" s="23">
        <v>0</v>
      </c>
      <c r="L20" s="23">
        <v>0</v>
      </c>
      <c r="M20" s="23">
        <v>0</v>
      </c>
      <c r="N20" s="23">
        <v>3</v>
      </c>
      <c r="O20" s="23">
        <v>8</v>
      </c>
      <c r="P20" s="23">
        <v>11</v>
      </c>
      <c r="Q20" s="23">
        <v>19</v>
      </c>
      <c r="R20" s="23">
        <v>27</v>
      </c>
      <c r="S20" s="23">
        <v>45</v>
      </c>
      <c r="T20" s="23">
        <v>80</v>
      </c>
      <c r="U20" s="23">
        <v>116</v>
      </c>
      <c r="V20" s="23">
        <v>157</v>
      </c>
      <c r="W20" s="28">
        <v>167</v>
      </c>
    </row>
    <row r="21" spans="1:23" x14ac:dyDescent="0.25">
      <c r="A21" s="20">
        <v>14</v>
      </c>
      <c r="B21" s="27">
        <v>45023</v>
      </c>
      <c r="C21" s="23">
        <v>513</v>
      </c>
      <c r="D21" s="23">
        <v>2</v>
      </c>
      <c r="E21" s="23">
        <v>0</v>
      </c>
      <c r="F21" s="23">
        <v>0</v>
      </c>
      <c r="G21" s="23">
        <v>0</v>
      </c>
      <c r="H21" s="23">
        <v>0</v>
      </c>
      <c r="I21" s="23">
        <v>0</v>
      </c>
      <c r="J21" s="23">
        <v>0</v>
      </c>
      <c r="K21" s="23">
        <v>0</v>
      </c>
      <c r="L21" s="23">
        <v>0</v>
      </c>
      <c r="M21" s="23">
        <v>3</v>
      </c>
      <c r="N21" s="23">
        <v>2</v>
      </c>
      <c r="O21" s="23">
        <v>3</v>
      </c>
      <c r="P21" s="23">
        <v>6</v>
      </c>
      <c r="Q21" s="23">
        <v>18</v>
      </c>
      <c r="R21" s="23">
        <v>20</v>
      </c>
      <c r="S21" s="23">
        <v>38</v>
      </c>
      <c r="T21" s="23">
        <v>67</v>
      </c>
      <c r="U21" s="23">
        <v>97</v>
      </c>
      <c r="V21" s="23">
        <v>120</v>
      </c>
      <c r="W21" s="28">
        <v>137</v>
      </c>
    </row>
    <row r="22" spans="1:23" x14ac:dyDescent="0.25">
      <c r="A22" s="20">
        <v>15</v>
      </c>
      <c r="B22" s="27">
        <v>45030</v>
      </c>
      <c r="C22" s="23">
        <v>465</v>
      </c>
      <c r="D22" s="23">
        <v>0</v>
      </c>
      <c r="E22" s="23">
        <v>0</v>
      </c>
      <c r="F22" s="23">
        <v>0</v>
      </c>
      <c r="G22" s="23">
        <v>0</v>
      </c>
      <c r="H22" s="23">
        <v>0</v>
      </c>
      <c r="I22" s="23">
        <v>0</v>
      </c>
      <c r="J22" s="23">
        <v>1</v>
      </c>
      <c r="K22" s="23">
        <v>0</v>
      </c>
      <c r="L22" s="23">
        <v>1</v>
      </c>
      <c r="M22" s="23">
        <v>1</v>
      </c>
      <c r="N22" s="23">
        <v>2</v>
      </c>
      <c r="O22" s="23">
        <v>2</v>
      </c>
      <c r="P22" s="23">
        <v>10</v>
      </c>
      <c r="Q22" s="23">
        <v>10</v>
      </c>
      <c r="R22" s="23">
        <v>19</v>
      </c>
      <c r="S22" s="23">
        <v>36</v>
      </c>
      <c r="T22" s="23">
        <v>77</v>
      </c>
      <c r="U22" s="23">
        <v>95</v>
      </c>
      <c r="V22" s="23">
        <v>86</v>
      </c>
      <c r="W22" s="28">
        <v>125</v>
      </c>
    </row>
    <row r="23" spans="1:23" x14ac:dyDescent="0.25">
      <c r="A23" s="20">
        <v>16</v>
      </c>
      <c r="B23" s="27">
        <v>45037</v>
      </c>
      <c r="C23" s="23">
        <v>538</v>
      </c>
      <c r="D23" s="23">
        <v>0</v>
      </c>
      <c r="E23" s="23">
        <v>0</v>
      </c>
      <c r="F23" s="23">
        <v>0</v>
      </c>
      <c r="G23" s="23">
        <v>0</v>
      </c>
      <c r="H23" s="23">
        <v>0</v>
      </c>
      <c r="I23" s="23">
        <v>0</v>
      </c>
      <c r="J23" s="23">
        <v>1</v>
      </c>
      <c r="K23" s="23">
        <v>3</v>
      </c>
      <c r="L23" s="23">
        <v>1</v>
      </c>
      <c r="M23" s="23">
        <v>2</v>
      </c>
      <c r="N23" s="23">
        <v>2</v>
      </c>
      <c r="O23" s="23">
        <v>8</v>
      </c>
      <c r="P23" s="23">
        <v>8</v>
      </c>
      <c r="Q23" s="23">
        <v>22</v>
      </c>
      <c r="R23" s="23">
        <v>27</v>
      </c>
      <c r="S23" s="23">
        <v>39</v>
      </c>
      <c r="T23" s="23">
        <v>72</v>
      </c>
      <c r="U23" s="23">
        <v>108</v>
      </c>
      <c r="V23" s="23">
        <v>111</v>
      </c>
      <c r="W23" s="28">
        <v>134</v>
      </c>
    </row>
    <row r="24" spans="1:23" x14ac:dyDescent="0.25">
      <c r="A24" s="20">
        <v>17</v>
      </c>
      <c r="B24" s="27">
        <v>45044</v>
      </c>
      <c r="C24" s="23">
        <v>459</v>
      </c>
      <c r="D24" s="23">
        <v>0</v>
      </c>
      <c r="E24" s="23">
        <v>0</v>
      </c>
      <c r="F24" s="23">
        <v>0</v>
      </c>
      <c r="G24" s="23">
        <v>0</v>
      </c>
      <c r="H24" s="23">
        <v>1</v>
      </c>
      <c r="I24" s="23">
        <v>1</v>
      </c>
      <c r="J24" s="23">
        <v>0</v>
      </c>
      <c r="K24" s="23">
        <v>1</v>
      </c>
      <c r="L24" s="23">
        <v>0</v>
      </c>
      <c r="M24" s="23">
        <v>1</v>
      </c>
      <c r="N24" s="23">
        <v>4</v>
      </c>
      <c r="O24" s="23">
        <v>5</v>
      </c>
      <c r="P24" s="23">
        <v>9</v>
      </c>
      <c r="Q24" s="23">
        <v>16</v>
      </c>
      <c r="R24" s="23">
        <v>23</v>
      </c>
      <c r="S24" s="23">
        <v>32</v>
      </c>
      <c r="T24" s="23">
        <v>69</v>
      </c>
      <c r="U24" s="23">
        <v>76</v>
      </c>
      <c r="V24" s="23">
        <v>108</v>
      </c>
      <c r="W24" s="28">
        <v>113</v>
      </c>
    </row>
    <row r="25" spans="1:23" x14ac:dyDescent="0.25">
      <c r="A25" s="20">
        <v>18</v>
      </c>
      <c r="B25" s="27">
        <v>45051</v>
      </c>
      <c r="C25" s="23">
        <v>310</v>
      </c>
      <c r="D25" s="23">
        <v>1</v>
      </c>
      <c r="E25" s="23">
        <v>0</v>
      </c>
      <c r="F25" s="23">
        <v>0</v>
      </c>
      <c r="G25" s="23">
        <v>0</v>
      </c>
      <c r="H25" s="23">
        <v>0</v>
      </c>
      <c r="I25" s="23">
        <v>0</v>
      </c>
      <c r="J25" s="23">
        <v>0</v>
      </c>
      <c r="K25" s="23">
        <v>1</v>
      </c>
      <c r="L25" s="23">
        <v>1</v>
      </c>
      <c r="M25" s="23">
        <v>2</v>
      </c>
      <c r="N25" s="23">
        <v>4</v>
      </c>
      <c r="O25" s="23">
        <v>2</v>
      </c>
      <c r="P25" s="23">
        <v>9</v>
      </c>
      <c r="Q25" s="23">
        <v>10</v>
      </c>
      <c r="R25" s="23">
        <v>18</v>
      </c>
      <c r="S25" s="23">
        <v>18</v>
      </c>
      <c r="T25" s="23">
        <v>48</v>
      </c>
      <c r="U25" s="23">
        <v>45</v>
      </c>
      <c r="V25" s="23">
        <v>72</v>
      </c>
      <c r="W25" s="28">
        <v>79</v>
      </c>
    </row>
    <row r="26" spans="1:23" x14ac:dyDescent="0.25">
      <c r="A26" s="20">
        <v>19</v>
      </c>
      <c r="B26" s="27">
        <v>45058</v>
      </c>
      <c r="C26" s="23">
        <v>309</v>
      </c>
      <c r="D26" s="23">
        <v>0</v>
      </c>
      <c r="E26" s="23">
        <v>0</v>
      </c>
      <c r="F26" s="23">
        <v>0</v>
      </c>
      <c r="G26" s="23">
        <v>0</v>
      </c>
      <c r="H26" s="23">
        <v>0</v>
      </c>
      <c r="I26" s="23">
        <v>0</v>
      </c>
      <c r="J26" s="23">
        <v>0</v>
      </c>
      <c r="K26" s="23">
        <v>0</v>
      </c>
      <c r="L26" s="23">
        <v>0</v>
      </c>
      <c r="M26" s="23">
        <v>1</v>
      </c>
      <c r="N26" s="23">
        <v>0</v>
      </c>
      <c r="O26" s="23">
        <v>3</v>
      </c>
      <c r="P26" s="23">
        <v>8</v>
      </c>
      <c r="Q26" s="23">
        <v>9</v>
      </c>
      <c r="R26" s="23">
        <v>17</v>
      </c>
      <c r="S26" s="23">
        <v>20</v>
      </c>
      <c r="T26" s="23">
        <v>42</v>
      </c>
      <c r="U26" s="23">
        <v>51</v>
      </c>
      <c r="V26" s="23">
        <v>65</v>
      </c>
      <c r="W26" s="28">
        <v>93</v>
      </c>
    </row>
    <row r="27" spans="1:23" x14ac:dyDescent="0.25">
      <c r="A27" s="20">
        <v>20</v>
      </c>
      <c r="B27" s="27">
        <v>45065</v>
      </c>
      <c r="C27" s="23">
        <v>322</v>
      </c>
      <c r="D27" s="23">
        <v>0</v>
      </c>
      <c r="E27" s="23">
        <v>0</v>
      </c>
      <c r="F27" s="23">
        <v>0</v>
      </c>
      <c r="G27" s="23">
        <v>0</v>
      </c>
      <c r="H27" s="23">
        <v>0</v>
      </c>
      <c r="I27" s="23">
        <v>0</v>
      </c>
      <c r="J27" s="23">
        <v>0</v>
      </c>
      <c r="K27" s="23">
        <v>1</v>
      </c>
      <c r="L27" s="23">
        <v>1</v>
      </c>
      <c r="M27" s="23">
        <v>0</v>
      </c>
      <c r="N27" s="23">
        <v>2</v>
      </c>
      <c r="O27" s="23">
        <v>3</v>
      </c>
      <c r="P27" s="23">
        <v>5</v>
      </c>
      <c r="Q27" s="23">
        <v>8</v>
      </c>
      <c r="R27" s="23">
        <v>17</v>
      </c>
      <c r="S27" s="23">
        <v>29</v>
      </c>
      <c r="T27" s="23">
        <v>42</v>
      </c>
      <c r="U27" s="23">
        <v>67</v>
      </c>
      <c r="V27" s="23">
        <v>75</v>
      </c>
      <c r="W27" s="28">
        <v>72</v>
      </c>
    </row>
    <row r="28" spans="1:23" x14ac:dyDescent="0.25">
      <c r="A28" s="20">
        <v>21</v>
      </c>
      <c r="B28" s="27">
        <v>45072</v>
      </c>
      <c r="C28" s="23">
        <v>262</v>
      </c>
      <c r="D28" s="23">
        <v>0</v>
      </c>
      <c r="E28" s="23">
        <v>0</v>
      </c>
      <c r="F28" s="23">
        <v>0</v>
      </c>
      <c r="G28" s="23">
        <v>0</v>
      </c>
      <c r="H28" s="23">
        <v>0</v>
      </c>
      <c r="I28" s="23">
        <v>0</v>
      </c>
      <c r="J28" s="23">
        <v>0</v>
      </c>
      <c r="K28" s="23">
        <v>0</v>
      </c>
      <c r="L28" s="23">
        <v>0</v>
      </c>
      <c r="M28" s="23">
        <v>0</v>
      </c>
      <c r="N28" s="23">
        <v>1</v>
      </c>
      <c r="O28" s="23">
        <v>3</v>
      </c>
      <c r="P28" s="23">
        <v>6</v>
      </c>
      <c r="Q28" s="23">
        <v>10</v>
      </c>
      <c r="R28" s="23">
        <v>12</v>
      </c>
      <c r="S28" s="23">
        <v>29</v>
      </c>
      <c r="T28" s="23">
        <v>26</v>
      </c>
      <c r="U28" s="23">
        <v>55</v>
      </c>
      <c r="V28" s="23">
        <v>47</v>
      </c>
      <c r="W28" s="28">
        <v>73</v>
      </c>
    </row>
    <row r="29" spans="1:23" x14ac:dyDescent="0.25">
      <c r="A29" s="20">
        <v>22</v>
      </c>
      <c r="B29" s="27">
        <v>45079</v>
      </c>
      <c r="C29" s="23">
        <v>189</v>
      </c>
      <c r="D29" s="23">
        <v>0</v>
      </c>
      <c r="E29" s="23">
        <v>0</v>
      </c>
      <c r="F29" s="23">
        <v>0</v>
      </c>
      <c r="G29" s="23">
        <v>1</v>
      </c>
      <c r="H29" s="23">
        <v>0</v>
      </c>
      <c r="I29" s="23">
        <v>0</v>
      </c>
      <c r="J29" s="23">
        <v>0</v>
      </c>
      <c r="K29" s="23">
        <v>0</v>
      </c>
      <c r="L29" s="23">
        <v>0</v>
      </c>
      <c r="M29" s="23">
        <v>0</v>
      </c>
      <c r="N29" s="23">
        <v>1</v>
      </c>
      <c r="O29" s="23">
        <v>1</v>
      </c>
      <c r="P29" s="23">
        <v>3</v>
      </c>
      <c r="Q29" s="23">
        <v>3</v>
      </c>
      <c r="R29" s="23">
        <v>7</v>
      </c>
      <c r="S29" s="23">
        <v>15</v>
      </c>
      <c r="T29" s="23">
        <v>43</v>
      </c>
      <c r="U29" s="23">
        <v>39</v>
      </c>
      <c r="V29" s="23">
        <v>40</v>
      </c>
      <c r="W29" s="28">
        <v>36</v>
      </c>
    </row>
    <row r="30" spans="1:23" x14ac:dyDescent="0.25">
      <c r="A30" s="20">
        <v>23</v>
      </c>
      <c r="B30" s="27">
        <v>45086</v>
      </c>
      <c r="C30" s="23">
        <v>211</v>
      </c>
      <c r="D30" s="23">
        <v>0</v>
      </c>
      <c r="E30" s="23">
        <v>0</v>
      </c>
      <c r="F30" s="23">
        <v>0</v>
      </c>
      <c r="G30" s="23">
        <v>0</v>
      </c>
      <c r="H30" s="23">
        <v>0</v>
      </c>
      <c r="I30" s="23">
        <v>0</v>
      </c>
      <c r="J30" s="23">
        <v>0</v>
      </c>
      <c r="K30" s="23">
        <v>2</v>
      </c>
      <c r="L30" s="23">
        <v>0</v>
      </c>
      <c r="M30" s="23">
        <v>1</v>
      </c>
      <c r="N30" s="23">
        <v>2</v>
      </c>
      <c r="O30" s="23">
        <v>6</v>
      </c>
      <c r="P30" s="23">
        <v>3</v>
      </c>
      <c r="Q30" s="23">
        <v>10</v>
      </c>
      <c r="R30" s="23">
        <v>11</v>
      </c>
      <c r="S30" s="23">
        <v>16</v>
      </c>
      <c r="T30" s="23">
        <v>29</v>
      </c>
      <c r="U30" s="23">
        <v>45</v>
      </c>
      <c r="V30" s="23">
        <v>46</v>
      </c>
      <c r="W30" s="28">
        <v>40</v>
      </c>
    </row>
    <row r="31" spans="1:23" x14ac:dyDescent="0.25">
      <c r="A31" s="20">
        <v>24</v>
      </c>
      <c r="B31" s="27">
        <v>45093</v>
      </c>
      <c r="C31" s="23">
        <v>156</v>
      </c>
      <c r="D31" s="23">
        <v>2</v>
      </c>
      <c r="E31" s="23">
        <v>0</v>
      </c>
      <c r="F31" s="23">
        <v>0</v>
      </c>
      <c r="G31" s="23">
        <v>0</v>
      </c>
      <c r="H31" s="23">
        <v>0</v>
      </c>
      <c r="I31" s="23">
        <v>2</v>
      </c>
      <c r="J31" s="23">
        <v>0</v>
      </c>
      <c r="K31" s="23">
        <v>0</v>
      </c>
      <c r="L31" s="23">
        <v>0</v>
      </c>
      <c r="M31" s="23">
        <v>0</v>
      </c>
      <c r="N31" s="23">
        <v>0</v>
      </c>
      <c r="O31" s="23">
        <v>0</v>
      </c>
      <c r="P31" s="23">
        <v>5</v>
      </c>
      <c r="Q31" s="23">
        <v>2</v>
      </c>
      <c r="R31" s="23">
        <v>9</v>
      </c>
      <c r="S31" s="23">
        <v>10</v>
      </c>
      <c r="T31" s="23">
        <v>27</v>
      </c>
      <c r="U31" s="23">
        <v>32</v>
      </c>
      <c r="V31" s="23">
        <v>28</v>
      </c>
      <c r="W31" s="28">
        <v>39</v>
      </c>
    </row>
    <row r="32" spans="1:23" x14ac:dyDescent="0.25">
      <c r="A32" s="20">
        <v>25</v>
      </c>
      <c r="B32" s="27">
        <v>45100</v>
      </c>
      <c r="C32" s="23">
        <v>154</v>
      </c>
      <c r="D32" s="23">
        <v>0</v>
      </c>
      <c r="E32" s="23">
        <v>0</v>
      </c>
      <c r="F32" s="23">
        <v>0</v>
      </c>
      <c r="G32" s="23">
        <v>0</v>
      </c>
      <c r="H32" s="23">
        <v>0</v>
      </c>
      <c r="I32" s="23">
        <v>0</v>
      </c>
      <c r="J32" s="23">
        <v>0</v>
      </c>
      <c r="K32" s="23">
        <v>0</v>
      </c>
      <c r="L32" s="23">
        <v>0</v>
      </c>
      <c r="M32" s="23">
        <v>0</v>
      </c>
      <c r="N32" s="23">
        <v>0</v>
      </c>
      <c r="O32" s="23">
        <v>1</v>
      </c>
      <c r="P32" s="23">
        <v>4</v>
      </c>
      <c r="Q32" s="23">
        <v>6</v>
      </c>
      <c r="R32" s="23">
        <v>10</v>
      </c>
      <c r="S32" s="23">
        <v>17</v>
      </c>
      <c r="T32" s="23">
        <v>26</v>
      </c>
      <c r="U32" s="23">
        <v>24</v>
      </c>
      <c r="V32" s="23">
        <v>25</v>
      </c>
      <c r="W32" s="28">
        <v>41</v>
      </c>
    </row>
    <row r="33" spans="1:23" x14ac:dyDescent="0.25">
      <c r="A33" s="20">
        <v>26</v>
      </c>
      <c r="B33" s="27">
        <v>45107</v>
      </c>
      <c r="C33" s="23">
        <v>129</v>
      </c>
      <c r="D33" s="23">
        <v>0</v>
      </c>
      <c r="E33" s="23">
        <v>0</v>
      </c>
      <c r="F33" s="23">
        <v>0</v>
      </c>
      <c r="G33" s="23">
        <v>0</v>
      </c>
      <c r="H33" s="23">
        <v>0</v>
      </c>
      <c r="I33" s="23">
        <v>0</v>
      </c>
      <c r="J33" s="23">
        <v>0</v>
      </c>
      <c r="K33" s="23">
        <v>0</v>
      </c>
      <c r="L33" s="23">
        <v>0</v>
      </c>
      <c r="M33" s="23">
        <v>1</v>
      </c>
      <c r="N33" s="23">
        <v>2</v>
      </c>
      <c r="O33" s="23">
        <v>0</v>
      </c>
      <c r="P33" s="23">
        <v>4</v>
      </c>
      <c r="Q33" s="23">
        <v>7</v>
      </c>
      <c r="R33" s="23">
        <v>7</v>
      </c>
      <c r="S33" s="23">
        <v>10</v>
      </c>
      <c r="T33" s="23">
        <v>13</v>
      </c>
      <c r="U33" s="23">
        <v>28</v>
      </c>
      <c r="V33" s="23">
        <v>26</v>
      </c>
      <c r="W33" s="28">
        <v>31</v>
      </c>
    </row>
    <row r="34" spans="1:23" x14ac:dyDescent="0.25">
      <c r="A34" s="20">
        <v>27</v>
      </c>
      <c r="B34" s="27">
        <v>45114</v>
      </c>
      <c r="C34" s="23">
        <v>95</v>
      </c>
      <c r="D34" s="23">
        <v>0</v>
      </c>
      <c r="E34" s="23">
        <v>0</v>
      </c>
      <c r="F34" s="23">
        <v>0</v>
      </c>
      <c r="G34" s="23">
        <v>0</v>
      </c>
      <c r="H34" s="23">
        <v>0</v>
      </c>
      <c r="I34" s="23">
        <v>0</v>
      </c>
      <c r="J34" s="23">
        <v>0</v>
      </c>
      <c r="K34" s="23">
        <v>1</v>
      </c>
      <c r="L34" s="23">
        <v>0</v>
      </c>
      <c r="M34" s="23">
        <v>0</v>
      </c>
      <c r="N34" s="23">
        <v>1</v>
      </c>
      <c r="O34" s="23">
        <v>1</v>
      </c>
      <c r="P34" s="23">
        <v>0</v>
      </c>
      <c r="Q34" s="23">
        <v>4</v>
      </c>
      <c r="R34" s="23">
        <v>7</v>
      </c>
      <c r="S34" s="23">
        <v>8</v>
      </c>
      <c r="T34" s="23">
        <v>14</v>
      </c>
      <c r="U34" s="23">
        <v>14</v>
      </c>
      <c r="V34" s="23">
        <v>23</v>
      </c>
      <c r="W34" s="28">
        <v>22</v>
      </c>
    </row>
    <row r="35" spans="1:23" x14ac:dyDescent="0.25">
      <c r="A35" s="20">
        <v>28</v>
      </c>
      <c r="B35" s="27">
        <v>45121</v>
      </c>
      <c r="C35" s="23">
        <v>77</v>
      </c>
      <c r="D35" s="23">
        <v>0</v>
      </c>
      <c r="E35" s="23">
        <v>0</v>
      </c>
      <c r="F35" s="23">
        <v>0</v>
      </c>
      <c r="G35" s="23">
        <v>1</v>
      </c>
      <c r="H35" s="23">
        <v>0</v>
      </c>
      <c r="I35" s="23">
        <v>0</v>
      </c>
      <c r="J35" s="23">
        <v>0</v>
      </c>
      <c r="K35" s="23">
        <v>0</v>
      </c>
      <c r="L35" s="23">
        <v>0</v>
      </c>
      <c r="M35" s="23">
        <v>0</v>
      </c>
      <c r="N35" s="23">
        <v>1</v>
      </c>
      <c r="O35" s="23">
        <v>0</v>
      </c>
      <c r="P35" s="23">
        <v>3</v>
      </c>
      <c r="Q35" s="23">
        <v>4</v>
      </c>
      <c r="R35" s="23">
        <v>3</v>
      </c>
      <c r="S35" s="23">
        <v>10</v>
      </c>
      <c r="T35" s="23">
        <v>16</v>
      </c>
      <c r="U35" s="23">
        <v>11</v>
      </c>
      <c r="V35" s="23">
        <v>16</v>
      </c>
      <c r="W35" s="28">
        <v>12</v>
      </c>
    </row>
    <row r="36" spans="1:23" x14ac:dyDescent="0.25">
      <c r="A36" s="20">
        <v>29</v>
      </c>
      <c r="B36" s="27">
        <v>45128</v>
      </c>
      <c r="C36" s="23">
        <v>70</v>
      </c>
      <c r="D36" s="23">
        <v>0</v>
      </c>
      <c r="E36" s="23">
        <v>0</v>
      </c>
      <c r="F36" s="23">
        <v>0</v>
      </c>
      <c r="G36" s="23">
        <v>0</v>
      </c>
      <c r="H36" s="23">
        <v>0</v>
      </c>
      <c r="I36" s="23">
        <v>0</v>
      </c>
      <c r="J36" s="23">
        <v>0</v>
      </c>
      <c r="K36" s="23">
        <v>0</v>
      </c>
      <c r="L36" s="23">
        <v>0</v>
      </c>
      <c r="M36" s="23">
        <v>1</v>
      </c>
      <c r="N36" s="23">
        <v>1</v>
      </c>
      <c r="O36" s="23">
        <v>1</v>
      </c>
      <c r="P36" s="23">
        <v>3</v>
      </c>
      <c r="Q36" s="23">
        <v>3</v>
      </c>
      <c r="R36" s="23">
        <v>4</v>
      </c>
      <c r="S36" s="23">
        <v>6</v>
      </c>
      <c r="T36" s="23">
        <v>9</v>
      </c>
      <c r="U36" s="23">
        <v>15</v>
      </c>
      <c r="V36" s="23">
        <v>14</v>
      </c>
      <c r="W36" s="28">
        <v>13</v>
      </c>
    </row>
    <row r="37" spans="1:23" x14ac:dyDescent="0.25">
      <c r="A37" s="20">
        <v>30</v>
      </c>
      <c r="B37" s="27">
        <v>45135</v>
      </c>
      <c r="C37" s="23">
        <v>63</v>
      </c>
      <c r="D37" s="23">
        <v>0</v>
      </c>
      <c r="E37" s="23">
        <v>0</v>
      </c>
      <c r="F37" s="23">
        <v>0</v>
      </c>
      <c r="G37" s="23">
        <v>0</v>
      </c>
      <c r="H37" s="23">
        <v>0</v>
      </c>
      <c r="I37" s="23">
        <v>0</v>
      </c>
      <c r="J37" s="23">
        <v>2</v>
      </c>
      <c r="K37" s="23">
        <v>0</v>
      </c>
      <c r="L37" s="23">
        <v>0</v>
      </c>
      <c r="M37" s="23">
        <v>0</v>
      </c>
      <c r="N37" s="23">
        <v>0</v>
      </c>
      <c r="O37" s="23">
        <v>5</v>
      </c>
      <c r="P37" s="23">
        <v>3</v>
      </c>
      <c r="Q37" s="23">
        <v>1</v>
      </c>
      <c r="R37" s="23">
        <v>4</v>
      </c>
      <c r="S37" s="23">
        <v>7</v>
      </c>
      <c r="T37" s="23">
        <v>13</v>
      </c>
      <c r="U37" s="23">
        <v>8</v>
      </c>
      <c r="V37" s="23">
        <v>11</v>
      </c>
      <c r="W37" s="28">
        <v>9</v>
      </c>
    </row>
    <row r="38" spans="1:23" x14ac:dyDescent="0.25">
      <c r="A38" s="20">
        <v>31</v>
      </c>
      <c r="B38" s="27">
        <v>45142</v>
      </c>
      <c r="C38" s="23">
        <v>68</v>
      </c>
      <c r="D38" s="23">
        <v>0</v>
      </c>
      <c r="E38" s="23">
        <v>1</v>
      </c>
      <c r="F38" s="23">
        <v>0</v>
      </c>
      <c r="G38" s="23">
        <v>0</v>
      </c>
      <c r="H38" s="23">
        <v>0</v>
      </c>
      <c r="I38" s="23">
        <v>0</v>
      </c>
      <c r="J38" s="23">
        <v>0</v>
      </c>
      <c r="K38" s="23">
        <v>0</v>
      </c>
      <c r="L38" s="23">
        <v>0</v>
      </c>
      <c r="M38" s="23">
        <v>0</v>
      </c>
      <c r="N38" s="23">
        <v>0</v>
      </c>
      <c r="O38" s="23">
        <v>0</v>
      </c>
      <c r="P38" s="23">
        <v>0</v>
      </c>
      <c r="Q38" s="23">
        <v>4</v>
      </c>
      <c r="R38" s="23">
        <v>4</v>
      </c>
      <c r="S38" s="23">
        <v>5</v>
      </c>
      <c r="T38" s="23">
        <v>7</v>
      </c>
      <c r="U38" s="23">
        <v>11</v>
      </c>
      <c r="V38" s="23">
        <v>20</v>
      </c>
      <c r="W38" s="28">
        <v>16</v>
      </c>
    </row>
    <row r="39" spans="1:23" x14ac:dyDescent="0.25">
      <c r="A39" s="20">
        <v>32</v>
      </c>
      <c r="B39" s="27">
        <v>45149</v>
      </c>
      <c r="C39" s="23">
        <v>108</v>
      </c>
      <c r="D39" s="23">
        <v>0</v>
      </c>
      <c r="E39" s="23">
        <v>0</v>
      </c>
      <c r="F39" s="23">
        <v>0</v>
      </c>
      <c r="G39" s="23">
        <v>0</v>
      </c>
      <c r="H39" s="23">
        <v>0</v>
      </c>
      <c r="I39" s="23">
        <v>0</v>
      </c>
      <c r="J39" s="23">
        <v>0</v>
      </c>
      <c r="K39" s="23">
        <v>0</v>
      </c>
      <c r="L39" s="23">
        <v>0</v>
      </c>
      <c r="M39" s="23">
        <v>0</v>
      </c>
      <c r="N39" s="23">
        <v>0</v>
      </c>
      <c r="O39" s="23">
        <v>3</v>
      </c>
      <c r="P39" s="23">
        <v>4</v>
      </c>
      <c r="Q39" s="23">
        <v>2</v>
      </c>
      <c r="R39" s="23">
        <v>5</v>
      </c>
      <c r="S39" s="23">
        <v>9</v>
      </c>
      <c r="T39" s="23">
        <v>24</v>
      </c>
      <c r="U39" s="23">
        <v>16</v>
      </c>
      <c r="V39" s="23">
        <v>20</v>
      </c>
      <c r="W39" s="28">
        <v>25</v>
      </c>
    </row>
    <row r="40" spans="1:23" x14ac:dyDescent="0.25">
      <c r="A40" s="20">
        <v>33</v>
      </c>
      <c r="B40" s="27">
        <v>45156</v>
      </c>
      <c r="C40" s="23">
        <v>125</v>
      </c>
      <c r="D40" s="23">
        <v>0</v>
      </c>
      <c r="E40" s="23">
        <v>0</v>
      </c>
      <c r="F40" s="23">
        <v>0</v>
      </c>
      <c r="G40" s="23">
        <v>0</v>
      </c>
      <c r="H40" s="23">
        <v>0</v>
      </c>
      <c r="I40" s="23">
        <v>0</v>
      </c>
      <c r="J40" s="23">
        <v>1</v>
      </c>
      <c r="K40" s="23">
        <v>0</v>
      </c>
      <c r="L40" s="23">
        <v>0</v>
      </c>
      <c r="M40" s="23">
        <v>1</v>
      </c>
      <c r="N40" s="23">
        <v>0</v>
      </c>
      <c r="O40" s="23">
        <v>4</v>
      </c>
      <c r="P40" s="23">
        <v>0</v>
      </c>
      <c r="Q40" s="23">
        <v>2</v>
      </c>
      <c r="R40" s="23">
        <v>6</v>
      </c>
      <c r="S40" s="23">
        <v>14</v>
      </c>
      <c r="T40" s="23">
        <v>15</v>
      </c>
      <c r="U40" s="23">
        <v>22</v>
      </c>
      <c r="V40" s="23">
        <v>29</v>
      </c>
      <c r="W40" s="28">
        <v>31</v>
      </c>
    </row>
    <row r="41" spans="1:23" x14ac:dyDescent="0.25">
      <c r="A41" s="20">
        <v>34</v>
      </c>
      <c r="B41" s="27">
        <v>45163</v>
      </c>
      <c r="C41" s="23">
        <v>203</v>
      </c>
      <c r="D41" s="23">
        <v>0</v>
      </c>
      <c r="E41" s="23">
        <v>0</v>
      </c>
      <c r="F41" s="23">
        <v>1</v>
      </c>
      <c r="G41" s="23">
        <v>0</v>
      </c>
      <c r="H41" s="23">
        <v>0</v>
      </c>
      <c r="I41" s="23">
        <v>0</v>
      </c>
      <c r="J41" s="23">
        <v>0</v>
      </c>
      <c r="K41" s="23">
        <v>1</v>
      </c>
      <c r="L41" s="23">
        <v>0</v>
      </c>
      <c r="M41" s="23">
        <v>0</v>
      </c>
      <c r="N41" s="23">
        <v>2</v>
      </c>
      <c r="O41" s="23">
        <v>3</v>
      </c>
      <c r="P41" s="23">
        <v>2</v>
      </c>
      <c r="Q41" s="23">
        <v>6</v>
      </c>
      <c r="R41" s="23">
        <v>12</v>
      </c>
      <c r="S41" s="23">
        <v>24</v>
      </c>
      <c r="T41" s="23">
        <v>30</v>
      </c>
      <c r="U41" s="23">
        <v>35</v>
      </c>
      <c r="V41" s="23">
        <v>45</v>
      </c>
      <c r="W41" s="28">
        <v>42</v>
      </c>
    </row>
    <row r="42" spans="1:23" x14ac:dyDescent="0.25">
      <c r="A42" s="20">
        <v>35</v>
      </c>
      <c r="B42" s="27">
        <v>45170</v>
      </c>
      <c r="C42" s="23">
        <v>155</v>
      </c>
      <c r="D42" s="23">
        <v>0</v>
      </c>
      <c r="E42" s="23">
        <v>0</v>
      </c>
      <c r="F42" s="23">
        <v>0</v>
      </c>
      <c r="G42" s="23">
        <v>0</v>
      </c>
      <c r="H42" s="23">
        <v>0</v>
      </c>
      <c r="I42" s="23">
        <v>0</v>
      </c>
      <c r="J42" s="23">
        <v>0</v>
      </c>
      <c r="K42" s="23">
        <v>0</v>
      </c>
      <c r="L42" s="23">
        <v>0</v>
      </c>
      <c r="M42" s="23">
        <v>0</v>
      </c>
      <c r="N42" s="23">
        <v>1</v>
      </c>
      <c r="O42" s="23">
        <v>1</v>
      </c>
      <c r="P42" s="23">
        <v>3</v>
      </c>
      <c r="Q42" s="23">
        <v>8</v>
      </c>
      <c r="R42" s="23">
        <v>11</v>
      </c>
      <c r="S42" s="23">
        <v>17</v>
      </c>
      <c r="T42" s="23">
        <v>18</v>
      </c>
      <c r="U42" s="23">
        <v>35</v>
      </c>
      <c r="V42" s="23">
        <v>25</v>
      </c>
      <c r="W42" s="28">
        <v>36</v>
      </c>
    </row>
    <row r="43" spans="1:23" x14ac:dyDescent="0.25">
      <c r="A43" s="10"/>
      <c r="B43" s="10"/>
      <c r="C43" s="10"/>
      <c r="D43" s="10"/>
      <c r="E43" s="10"/>
      <c r="F43" s="10"/>
      <c r="G43" s="10"/>
      <c r="H43" s="10"/>
      <c r="I43" s="10"/>
      <c r="J43" s="10"/>
      <c r="K43" s="10"/>
      <c r="L43" s="10"/>
      <c r="M43" s="10"/>
      <c r="N43" s="10"/>
      <c r="O43" s="10"/>
      <c r="P43" s="10"/>
      <c r="Q43" s="10"/>
      <c r="R43" s="10"/>
      <c r="S43" s="10"/>
      <c r="T43" s="10"/>
      <c r="U43" s="10"/>
      <c r="V43" s="10"/>
      <c r="W43" s="10"/>
    </row>
    <row r="44" spans="1:23" ht="15.6" x14ac:dyDescent="0.3">
      <c r="A44" s="3" t="s">
        <v>166</v>
      </c>
    </row>
    <row r="45" spans="1:23" ht="15.6" x14ac:dyDescent="0.25">
      <c r="A45" s="12" t="s">
        <v>116</v>
      </c>
      <c r="B45" s="11" t="s">
        <v>131</v>
      </c>
      <c r="C45" s="21" t="s">
        <v>132</v>
      </c>
      <c r="D45" s="21" t="s">
        <v>133</v>
      </c>
      <c r="E45" s="21" t="s">
        <v>134</v>
      </c>
      <c r="F45" s="21" t="s">
        <v>135</v>
      </c>
      <c r="G45" s="21" t="s">
        <v>136</v>
      </c>
      <c r="H45" s="21" t="s">
        <v>137</v>
      </c>
      <c r="I45" s="21" t="s">
        <v>138</v>
      </c>
      <c r="J45" s="21" t="s">
        <v>139</v>
      </c>
      <c r="K45" s="21" t="s">
        <v>140</v>
      </c>
      <c r="L45" s="21" t="s">
        <v>141</v>
      </c>
      <c r="M45" s="21" t="s">
        <v>142</v>
      </c>
      <c r="N45" s="21" t="s">
        <v>143</v>
      </c>
      <c r="O45" s="21" t="s">
        <v>144</v>
      </c>
      <c r="P45" s="21" t="s">
        <v>145</v>
      </c>
      <c r="Q45" s="21" t="s">
        <v>146</v>
      </c>
      <c r="R45" s="21" t="s">
        <v>147</v>
      </c>
      <c r="S45" s="21" t="s">
        <v>148</v>
      </c>
      <c r="T45" s="21" t="s">
        <v>149</v>
      </c>
      <c r="U45" s="21" t="s">
        <v>150</v>
      </c>
      <c r="V45" s="21" t="s">
        <v>151</v>
      </c>
      <c r="W45" s="24" t="s">
        <v>152</v>
      </c>
    </row>
    <row r="46" spans="1:23" x14ac:dyDescent="0.25">
      <c r="A46" s="19">
        <v>1</v>
      </c>
      <c r="B46" s="25">
        <v>44932</v>
      </c>
      <c r="C46" s="22">
        <v>379</v>
      </c>
      <c r="D46" s="22">
        <v>0</v>
      </c>
      <c r="E46" s="22">
        <v>0</v>
      </c>
      <c r="F46" s="22">
        <v>0</v>
      </c>
      <c r="G46" s="22">
        <v>0</v>
      </c>
      <c r="H46" s="22">
        <v>0</v>
      </c>
      <c r="I46" s="22">
        <v>0</v>
      </c>
      <c r="J46" s="22">
        <v>1</v>
      </c>
      <c r="K46" s="22">
        <v>1</v>
      </c>
      <c r="L46" s="22">
        <v>0</v>
      </c>
      <c r="M46" s="22">
        <v>3</v>
      </c>
      <c r="N46" s="22">
        <v>2</v>
      </c>
      <c r="O46" s="22">
        <v>2</v>
      </c>
      <c r="P46" s="22">
        <v>11</v>
      </c>
      <c r="Q46" s="22">
        <v>14</v>
      </c>
      <c r="R46" s="22">
        <v>13</v>
      </c>
      <c r="S46" s="22">
        <v>31</v>
      </c>
      <c r="T46" s="22">
        <v>66</v>
      </c>
      <c r="U46" s="22">
        <v>71</v>
      </c>
      <c r="V46" s="22">
        <v>79</v>
      </c>
      <c r="W46" s="26">
        <v>85</v>
      </c>
    </row>
    <row r="47" spans="1:23" x14ac:dyDescent="0.25">
      <c r="A47" s="20">
        <v>2</v>
      </c>
      <c r="B47" s="27">
        <v>44939</v>
      </c>
      <c r="C47" s="23">
        <v>492</v>
      </c>
      <c r="D47" s="23">
        <v>0</v>
      </c>
      <c r="E47" s="23">
        <v>1</v>
      </c>
      <c r="F47" s="23">
        <v>0</v>
      </c>
      <c r="G47" s="23">
        <v>0</v>
      </c>
      <c r="H47" s="23">
        <v>0</v>
      </c>
      <c r="I47" s="23">
        <v>0</v>
      </c>
      <c r="J47" s="23">
        <v>0</v>
      </c>
      <c r="K47" s="23">
        <v>0</v>
      </c>
      <c r="L47" s="23">
        <v>1</v>
      </c>
      <c r="M47" s="23">
        <v>1</v>
      </c>
      <c r="N47" s="23">
        <v>3</v>
      </c>
      <c r="O47" s="23">
        <v>6</v>
      </c>
      <c r="P47" s="23">
        <v>7</v>
      </c>
      <c r="Q47" s="23">
        <v>13</v>
      </c>
      <c r="R47" s="23">
        <v>28</v>
      </c>
      <c r="S47" s="23">
        <v>50</v>
      </c>
      <c r="T47" s="23">
        <v>56</v>
      </c>
      <c r="U47" s="23">
        <v>84</v>
      </c>
      <c r="V47" s="23">
        <v>127</v>
      </c>
      <c r="W47" s="28">
        <v>115</v>
      </c>
    </row>
    <row r="48" spans="1:23" x14ac:dyDescent="0.25">
      <c r="A48" s="20">
        <v>3</v>
      </c>
      <c r="B48" s="27">
        <v>44946</v>
      </c>
      <c r="C48" s="23">
        <v>389</v>
      </c>
      <c r="D48" s="23">
        <v>0</v>
      </c>
      <c r="E48" s="23">
        <v>0</v>
      </c>
      <c r="F48" s="23">
        <v>0</v>
      </c>
      <c r="G48" s="23">
        <v>0</v>
      </c>
      <c r="H48" s="23">
        <v>0</v>
      </c>
      <c r="I48" s="23">
        <v>0</v>
      </c>
      <c r="J48" s="23">
        <v>1</v>
      </c>
      <c r="K48" s="23">
        <v>2</v>
      </c>
      <c r="L48" s="23">
        <v>0</v>
      </c>
      <c r="M48" s="23">
        <v>0</v>
      </c>
      <c r="N48" s="23">
        <v>3</v>
      </c>
      <c r="O48" s="23">
        <v>3</v>
      </c>
      <c r="P48" s="23">
        <v>7</v>
      </c>
      <c r="Q48" s="23">
        <v>13</v>
      </c>
      <c r="R48" s="23">
        <v>15</v>
      </c>
      <c r="S48" s="23">
        <v>23</v>
      </c>
      <c r="T48" s="23">
        <v>66</v>
      </c>
      <c r="U48" s="23">
        <v>80</v>
      </c>
      <c r="V48" s="23">
        <v>85</v>
      </c>
      <c r="W48" s="28">
        <v>91</v>
      </c>
    </row>
    <row r="49" spans="1:23" x14ac:dyDescent="0.25">
      <c r="A49" s="20">
        <v>4</v>
      </c>
      <c r="B49" s="27">
        <v>44953</v>
      </c>
      <c r="C49" s="23">
        <v>308</v>
      </c>
      <c r="D49" s="23">
        <v>0</v>
      </c>
      <c r="E49" s="23">
        <v>0</v>
      </c>
      <c r="F49" s="23">
        <v>0</v>
      </c>
      <c r="G49" s="23">
        <v>0</v>
      </c>
      <c r="H49" s="23">
        <v>0</v>
      </c>
      <c r="I49" s="23">
        <v>0</v>
      </c>
      <c r="J49" s="23">
        <v>0</v>
      </c>
      <c r="K49" s="23">
        <v>0</v>
      </c>
      <c r="L49" s="23">
        <v>1</v>
      </c>
      <c r="M49" s="23">
        <v>0</v>
      </c>
      <c r="N49" s="23">
        <v>0</v>
      </c>
      <c r="O49" s="23">
        <v>4</v>
      </c>
      <c r="P49" s="23">
        <v>3</v>
      </c>
      <c r="Q49" s="23">
        <v>12</v>
      </c>
      <c r="R49" s="23">
        <v>9</v>
      </c>
      <c r="S49" s="23">
        <v>26</v>
      </c>
      <c r="T49" s="23">
        <v>34</v>
      </c>
      <c r="U49" s="23">
        <v>72</v>
      </c>
      <c r="V49" s="23">
        <v>86</v>
      </c>
      <c r="W49" s="28">
        <v>61</v>
      </c>
    </row>
    <row r="50" spans="1:23" x14ac:dyDescent="0.25">
      <c r="A50" s="20">
        <v>5</v>
      </c>
      <c r="B50" s="27">
        <v>44960</v>
      </c>
      <c r="C50" s="23">
        <v>262</v>
      </c>
      <c r="D50" s="23">
        <v>0</v>
      </c>
      <c r="E50" s="23">
        <v>0</v>
      </c>
      <c r="F50" s="23">
        <v>0</v>
      </c>
      <c r="G50" s="23">
        <v>1</v>
      </c>
      <c r="H50" s="23">
        <v>0</v>
      </c>
      <c r="I50" s="23">
        <v>0</v>
      </c>
      <c r="J50" s="23">
        <v>0</v>
      </c>
      <c r="K50" s="23">
        <v>0</v>
      </c>
      <c r="L50" s="23">
        <v>0</v>
      </c>
      <c r="M50" s="23">
        <v>0</v>
      </c>
      <c r="N50" s="23">
        <v>2</v>
      </c>
      <c r="O50" s="23">
        <v>1</v>
      </c>
      <c r="P50" s="23">
        <v>4</v>
      </c>
      <c r="Q50" s="23">
        <v>8</v>
      </c>
      <c r="R50" s="23">
        <v>17</v>
      </c>
      <c r="S50" s="23">
        <v>21</v>
      </c>
      <c r="T50" s="23">
        <v>42</v>
      </c>
      <c r="U50" s="23">
        <v>55</v>
      </c>
      <c r="V50" s="23">
        <v>57</v>
      </c>
      <c r="W50" s="28">
        <v>54</v>
      </c>
    </row>
    <row r="51" spans="1:23" x14ac:dyDescent="0.25">
      <c r="A51" s="20">
        <v>6</v>
      </c>
      <c r="B51" s="27">
        <v>44967</v>
      </c>
      <c r="C51" s="23">
        <v>234</v>
      </c>
      <c r="D51" s="23">
        <v>1</v>
      </c>
      <c r="E51" s="23">
        <v>0</v>
      </c>
      <c r="F51" s="23">
        <v>0</v>
      </c>
      <c r="G51" s="23">
        <v>0</v>
      </c>
      <c r="H51" s="23">
        <v>0</v>
      </c>
      <c r="I51" s="23">
        <v>0</v>
      </c>
      <c r="J51" s="23">
        <v>0</v>
      </c>
      <c r="K51" s="23">
        <v>1</v>
      </c>
      <c r="L51" s="23">
        <v>1</v>
      </c>
      <c r="M51" s="23">
        <v>0</v>
      </c>
      <c r="N51" s="23">
        <v>0</v>
      </c>
      <c r="O51" s="23">
        <v>3</v>
      </c>
      <c r="P51" s="23">
        <v>4</v>
      </c>
      <c r="Q51" s="23">
        <v>9</v>
      </c>
      <c r="R51" s="23">
        <v>14</v>
      </c>
      <c r="S51" s="23">
        <v>23</v>
      </c>
      <c r="T51" s="23">
        <v>39</v>
      </c>
      <c r="U51" s="23">
        <v>41</v>
      </c>
      <c r="V51" s="23">
        <v>47</v>
      </c>
      <c r="W51" s="28">
        <v>51</v>
      </c>
    </row>
    <row r="52" spans="1:23" x14ac:dyDescent="0.25">
      <c r="A52" s="20">
        <v>7</v>
      </c>
      <c r="B52" s="27">
        <v>44974</v>
      </c>
      <c r="C52" s="23">
        <v>222</v>
      </c>
      <c r="D52" s="23">
        <v>0</v>
      </c>
      <c r="E52" s="23">
        <v>0</v>
      </c>
      <c r="F52" s="23">
        <v>0</v>
      </c>
      <c r="G52" s="23">
        <v>0</v>
      </c>
      <c r="H52" s="23">
        <v>0</v>
      </c>
      <c r="I52" s="23">
        <v>0</v>
      </c>
      <c r="J52" s="23">
        <v>0</v>
      </c>
      <c r="K52" s="23">
        <v>0</v>
      </c>
      <c r="L52" s="23">
        <v>0</v>
      </c>
      <c r="M52" s="23">
        <v>0</v>
      </c>
      <c r="N52" s="23">
        <v>1</v>
      </c>
      <c r="O52" s="23">
        <v>0</v>
      </c>
      <c r="P52" s="23">
        <v>8</v>
      </c>
      <c r="Q52" s="23">
        <v>12</v>
      </c>
      <c r="R52" s="23">
        <v>12</v>
      </c>
      <c r="S52" s="23">
        <v>28</v>
      </c>
      <c r="T52" s="23">
        <v>28</v>
      </c>
      <c r="U52" s="23">
        <v>42</v>
      </c>
      <c r="V52" s="23">
        <v>41</v>
      </c>
      <c r="W52" s="28">
        <v>50</v>
      </c>
    </row>
    <row r="53" spans="1:23" x14ac:dyDescent="0.25">
      <c r="A53" s="20">
        <v>8</v>
      </c>
      <c r="B53" s="27">
        <v>44981</v>
      </c>
      <c r="C53" s="23">
        <v>209</v>
      </c>
      <c r="D53" s="23">
        <v>0</v>
      </c>
      <c r="E53" s="23">
        <v>0</v>
      </c>
      <c r="F53" s="23">
        <v>0</v>
      </c>
      <c r="G53" s="23">
        <v>0</v>
      </c>
      <c r="H53" s="23">
        <v>0</v>
      </c>
      <c r="I53" s="23">
        <v>0</v>
      </c>
      <c r="J53" s="23">
        <v>0</v>
      </c>
      <c r="K53" s="23">
        <v>0</v>
      </c>
      <c r="L53" s="23">
        <v>0</v>
      </c>
      <c r="M53" s="23">
        <v>2</v>
      </c>
      <c r="N53" s="23">
        <v>1</v>
      </c>
      <c r="O53" s="23">
        <v>2</v>
      </c>
      <c r="P53" s="23">
        <v>8</v>
      </c>
      <c r="Q53" s="23">
        <v>8</v>
      </c>
      <c r="R53" s="23">
        <v>11</v>
      </c>
      <c r="S53" s="23">
        <v>21</v>
      </c>
      <c r="T53" s="23">
        <v>29</v>
      </c>
      <c r="U53" s="23">
        <v>42</v>
      </c>
      <c r="V53" s="23">
        <v>43</v>
      </c>
      <c r="W53" s="28">
        <v>42</v>
      </c>
    </row>
    <row r="54" spans="1:23" x14ac:dyDescent="0.25">
      <c r="A54" s="20">
        <v>9</v>
      </c>
      <c r="B54" s="27">
        <v>44988</v>
      </c>
      <c r="C54" s="23">
        <v>256</v>
      </c>
      <c r="D54" s="23">
        <v>0</v>
      </c>
      <c r="E54" s="23">
        <v>0</v>
      </c>
      <c r="F54" s="23">
        <v>0</v>
      </c>
      <c r="G54" s="23">
        <v>0</v>
      </c>
      <c r="H54" s="23">
        <v>0</v>
      </c>
      <c r="I54" s="23">
        <v>0</v>
      </c>
      <c r="J54" s="23">
        <v>0</v>
      </c>
      <c r="K54" s="23">
        <v>0</v>
      </c>
      <c r="L54" s="23">
        <v>1</v>
      </c>
      <c r="M54" s="23">
        <v>1</v>
      </c>
      <c r="N54" s="23">
        <v>0</v>
      </c>
      <c r="O54" s="23">
        <v>5</v>
      </c>
      <c r="P54" s="23">
        <v>7</v>
      </c>
      <c r="Q54" s="23">
        <v>5</v>
      </c>
      <c r="R54" s="23">
        <v>11</v>
      </c>
      <c r="S54" s="23">
        <v>27</v>
      </c>
      <c r="T54" s="23">
        <v>40</v>
      </c>
      <c r="U54" s="23">
        <v>58</v>
      </c>
      <c r="V54" s="23">
        <v>49</v>
      </c>
      <c r="W54" s="28">
        <v>52</v>
      </c>
    </row>
    <row r="55" spans="1:23" x14ac:dyDescent="0.25">
      <c r="A55" s="20">
        <v>10</v>
      </c>
      <c r="B55" s="27">
        <v>44995</v>
      </c>
      <c r="C55" s="23">
        <v>283</v>
      </c>
      <c r="D55" s="23">
        <v>0</v>
      </c>
      <c r="E55" s="23">
        <v>0</v>
      </c>
      <c r="F55" s="23">
        <v>0</v>
      </c>
      <c r="G55" s="23">
        <v>0</v>
      </c>
      <c r="H55" s="23">
        <v>0</v>
      </c>
      <c r="I55" s="23">
        <v>2</v>
      </c>
      <c r="J55" s="23">
        <v>0</v>
      </c>
      <c r="K55" s="23">
        <v>0</v>
      </c>
      <c r="L55" s="23">
        <v>1</v>
      </c>
      <c r="M55" s="23">
        <v>0</v>
      </c>
      <c r="N55" s="23">
        <v>4</v>
      </c>
      <c r="O55" s="23">
        <v>6</v>
      </c>
      <c r="P55" s="23">
        <v>8</v>
      </c>
      <c r="Q55" s="23">
        <v>8</v>
      </c>
      <c r="R55" s="23">
        <v>20</v>
      </c>
      <c r="S55" s="23">
        <v>22</v>
      </c>
      <c r="T55" s="23">
        <v>44</v>
      </c>
      <c r="U55" s="23">
        <v>55</v>
      </c>
      <c r="V55" s="23">
        <v>67</v>
      </c>
      <c r="W55" s="28">
        <v>46</v>
      </c>
    </row>
    <row r="56" spans="1:23" x14ac:dyDescent="0.25">
      <c r="A56" s="20">
        <v>11</v>
      </c>
      <c r="B56" s="27">
        <v>45002</v>
      </c>
      <c r="C56" s="23">
        <v>284</v>
      </c>
      <c r="D56" s="23">
        <v>0</v>
      </c>
      <c r="E56" s="23">
        <v>0</v>
      </c>
      <c r="F56" s="23">
        <v>1</v>
      </c>
      <c r="G56" s="23">
        <v>0</v>
      </c>
      <c r="H56" s="23">
        <v>0</v>
      </c>
      <c r="I56" s="23">
        <v>0</v>
      </c>
      <c r="J56" s="23">
        <v>0</v>
      </c>
      <c r="K56" s="23">
        <v>2</v>
      </c>
      <c r="L56" s="23">
        <v>5</v>
      </c>
      <c r="M56" s="23">
        <v>1</v>
      </c>
      <c r="N56" s="23">
        <v>1</v>
      </c>
      <c r="O56" s="23">
        <v>5</v>
      </c>
      <c r="P56" s="23">
        <v>4</v>
      </c>
      <c r="Q56" s="23">
        <v>9</v>
      </c>
      <c r="R56" s="23">
        <v>19</v>
      </c>
      <c r="S56" s="23">
        <v>22</v>
      </c>
      <c r="T56" s="23">
        <v>37</v>
      </c>
      <c r="U56" s="23">
        <v>47</v>
      </c>
      <c r="V56" s="23">
        <v>67</v>
      </c>
      <c r="W56" s="28">
        <v>64</v>
      </c>
    </row>
    <row r="57" spans="1:23" x14ac:dyDescent="0.25">
      <c r="A57" s="20">
        <v>12</v>
      </c>
      <c r="B57" s="27">
        <v>45009</v>
      </c>
      <c r="C57" s="23">
        <v>303</v>
      </c>
      <c r="D57" s="23">
        <v>0</v>
      </c>
      <c r="E57" s="23">
        <v>0</v>
      </c>
      <c r="F57" s="23">
        <v>1</v>
      </c>
      <c r="G57" s="23">
        <v>0</v>
      </c>
      <c r="H57" s="23">
        <v>1</v>
      </c>
      <c r="I57" s="23">
        <v>0</v>
      </c>
      <c r="J57" s="23">
        <v>1</v>
      </c>
      <c r="K57" s="23">
        <v>0</v>
      </c>
      <c r="L57" s="23">
        <v>1</v>
      </c>
      <c r="M57" s="23">
        <v>2</v>
      </c>
      <c r="N57" s="23">
        <v>3</v>
      </c>
      <c r="O57" s="23">
        <v>2</v>
      </c>
      <c r="P57" s="23">
        <v>1</v>
      </c>
      <c r="Q57" s="23">
        <v>4</v>
      </c>
      <c r="R57" s="23">
        <v>20</v>
      </c>
      <c r="S57" s="23">
        <v>21</v>
      </c>
      <c r="T57" s="23">
        <v>48</v>
      </c>
      <c r="U57" s="23">
        <v>56</v>
      </c>
      <c r="V57" s="23">
        <v>67</v>
      </c>
      <c r="W57" s="28">
        <v>75</v>
      </c>
    </row>
    <row r="58" spans="1:23" x14ac:dyDescent="0.25">
      <c r="A58" s="20">
        <v>13</v>
      </c>
      <c r="B58" s="27">
        <v>45016</v>
      </c>
      <c r="C58" s="23">
        <v>316</v>
      </c>
      <c r="D58" s="23">
        <v>0</v>
      </c>
      <c r="E58" s="23">
        <v>0</v>
      </c>
      <c r="F58" s="23">
        <v>0</v>
      </c>
      <c r="G58" s="23">
        <v>0</v>
      </c>
      <c r="H58" s="23">
        <v>0</v>
      </c>
      <c r="I58" s="23">
        <v>0</v>
      </c>
      <c r="J58" s="23">
        <v>1</v>
      </c>
      <c r="K58" s="23">
        <v>0</v>
      </c>
      <c r="L58" s="23">
        <v>0</v>
      </c>
      <c r="M58" s="23">
        <v>0</v>
      </c>
      <c r="N58" s="23">
        <v>0</v>
      </c>
      <c r="O58" s="23">
        <v>3</v>
      </c>
      <c r="P58" s="23">
        <v>7</v>
      </c>
      <c r="Q58" s="23">
        <v>8</v>
      </c>
      <c r="R58" s="23">
        <v>16</v>
      </c>
      <c r="S58" s="23">
        <v>25</v>
      </c>
      <c r="T58" s="23">
        <v>41</v>
      </c>
      <c r="U58" s="23">
        <v>66</v>
      </c>
      <c r="V58" s="23">
        <v>79</v>
      </c>
      <c r="W58" s="28">
        <v>70</v>
      </c>
    </row>
    <row r="59" spans="1:23" x14ac:dyDescent="0.25">
      <c r="A59" s="20">
        <v>14</v>
      </c>
      <c r="B59" s="27">
        <v>45023</v>
      </c>
      <c r="C59" s="23">
        <v>261</v>
      </c>
      <c r="D59" s="23">
        <v>2</v>
      </c>
      <c r="E59" s="23">
        <v>0</v>
      </c>
      <c r="F59" s="23">
        <v>0</v>
      </c>
      <c r="G59" s="23">
        <v>0</v>
      </c>
      <c r="H59" s="23">
        <v>0</v>
      </c>
      <c r="I59" s="23">
        <v>0</v>
      </c>
      <c r="J59" s="23">
        <v>0</v>
      </c>
      <c r="K59" s="23">
        <v>0</v>
      </c>
      <c r="L59" s="23">
        <v>0</v>
      </c>
      <c r="M59" s="23">
        <v>2</v>
      </c>
      <c r="N59" s="23">
        <v>1</v>
      </c>
      <c r="O59" s="23">
        <v>2</v>
      </c>
      <c r="P59" s="23">
        <v>4</v>
      </c>
      <c r="Q59" s="23">
        <v>10</v>
      </c>
      <c r="R59" s="23">
        <v>14</v>
      </c>
      <c r="S59" s="23">
        <v>20</v>
      </c>
      <c r="T59" s="23">
        <v>34</v>
      </c>
      <c r="U59" s="23">
        <v>54</v>
      </c>
      <c r="V59" s="23">
        <v>66</v>
      </c>
      <c r="W59" s="28">
        <v>52</v>
      </c>
    </row>
    <row r="60" spans="1:23" x14ac:dyDescent="0.25">
      <c r="A60" s="20">
        <v>15</v>
      </c>
      <c r="B60" s="27">
        <v>45030</v>
      </c>
      <c r="C60" s="23">
        <v>260</v>
      </c>
      <c r="D60" s="23">
        <v>0</v>
      </c>
      <c r="E60" s="23">
        <v>0</v>
      </c>
      <c r="F60" s="23">
        <v>0</v>
      </c>
      <c r="G60" s="23">
        <v>0</v>
      </c>
      <c r="H60" s="23">
        <v>0</v>
      </c>
      <c r="I60" s="23">
        <v>0</v>
      </c>
      <c r="J60" s="23">
        <v>1</v>
      </c>
      <c r="K60" s="23">
        <v>0</v>
      </c>
      <c r="L60" s="23">
        <v>1</v>
      </c>
      <c r="M60" s="23">
        <v>1</v>
      </c>
      <c r="N60" s="23">
        <v>1</v>
      </c>
      <c r="O60" s="23">
        <v>2</v>
      </c>
      <c r="P60" s="23">
        <v>5</v>
      </c>
      <c r="Q60" s="23">
        <v>6</v>
      </c>
      <c r="R60" s="23">
        <v>12</v>
      </c>
      <c r="S60" s="23">
        <v>17</v>
      </c>
      <c r="T60" s="23">
        <v>47</v>
      </c>
      <c r="U60" s="23">
        <v>59</v>
      </c>
      <c r="V60" s="23">
        <v>50</v>
      </c>
      <c r="W60" s="28">
        <v>58</v>
      </c>
    </row>
    <row r="61" spans="1:23" x14ac:dyDescent="0.25">
      <c r="A61" s="20">
        <v>16</v>
      </c>
      <c r="B61" s="27">
        <v>45037</v>
      </c>
      <c r="C61" s="23">
        <v>304</v>
      </c>
      <c r="D61" s="23">
        <v>0</v>
      </c>
      <c r="E61" s="23">
        <v>0</v>
      </c>
      <c r="F61" s="23">
        <v>0</v>
      </c>
      <c r="G61" s="23">
        <v>0</v>
      </c>
      <c r="H61" s="23">
        <v>0</v>
      </c>
      <c r="I61" s="23">
        <v>0</v>
      </c>
      <c r="J61" s="23">
        <v>0</v>
      </c>
      <c r="K61" s="23">
        <v>3</v>
      </c>
      <c r="L61" s="23">
        <v>0</v>
      </c>
      <c r="M61" s="23">
        <v>0</v>
      </c>
      <c r="N61" s="23">
        <v>1</v>
      </c>
      <c r="O61" s="23">
        <v>4</v>
      </c>
      <c r="P61" s="23">
        <v>4</v>
      </c>
      <c r="Q61" s="23">
        <v>12</v>
      </c>
      <c r="R61" s="23">
        <v>14</v>
      </c>
      <c r="S61" s="23">
        <v>21</v>
      </c>
      <c r="T61" s="23">
        <v>41</v>
      </c>
      <c r="U61" s="23">
        <v>72</v>
      </c>
      <c r="V61" s="23">
        <v>68</v>
      </c>
      <c r="W61" s="28">
        <v>64</v>
      </c>
    </row>
    <row r="62" spans="1:23" x14ac:dyDescent="0.25">
      <c r="A62" s="20">
        <v>17</v>
      </c>
      <c r="B62" s="27">
        <v>45044</v>
      </c>
      <c r="C62" s="23">
        <v>234</v>
      </c>
      <c r="D62" s="23">
        <v>0</v>
      </c>
      <c r="E62" s="23">
        <v>0</v>
      </c>
      <c r="F62" s="23">
        <v>0</v>
      </c>
      <c r="G62" s="23">
        <v>0</v>
      </c>
      <c r="H62" s="23">
        <v>0</v>
      </c>
      <c r="I62" s="23">
        <v>0</v>
      </c>
      <c r="J62" s="23">
        <v>0</v>
      </c>
      <c r="K62" s="23">
        <v>0</v>
      </c>
      <c r="L62" s="23">
        <v>0</v>
      </c>
      <c r="M62" s="23">
        <v>1</v>
      </c>
      <c r="N62" s="23">
        <v>2</v>
      </c>
      <c r="O62" s="23">
        <v>3</v>
      </c>
      <c r="P62" s="23">
        <v>6</v>
      </c>
      <c r="Q62" s="23">
        <v>11</v>
      </c>
      <c r="R62" s="23">
        <v>15</v>
      </c>
      <c r="S62" s="23">
        <v>16</v>
      </c>
      <c r="T62" s="23">
        <v>40</v>
      </c>
      <c r="U62" s="23">
        <v>37</v>
      </c>
      <c r="V62" s="23">
        <v>59</v>
      </c>
      <c r="W62" s="28">
        <v>44</v>
      </c>
    </row>
    <row r="63" spans="1:23" x14ac:dyDescent="0.25">
      <c r="A63" s="20">
        <v>18</v>
      </c>
      <c r="B63" s="27">
        <v>45051</v>
      </c>
      <c r="C63" s="23">
        <v>170</v>
      </c>
      <c r="D63" s="23">
        <v>0</v>
      </c>
      <c r="E63" s="23">
        <v>0</v>
      </c>
      <c r="F63" s="23">
        <v>0</v>
      </c>
      <c r="G63" s="23">
        <v>0</v>
      </c>
      <c r="H63" s="23">
        <v>0</v>
      </c>
      <c r="I63" s="23">
        <v>0</v>
      </c>
      <c r="J63" s="23">
        <v>0</v>
      </c>
      <c r="K63" s="23">
        <v>1</v>
      </c>
      <c r="L63" s="23">
        <v>1</v>
      </c>
      <c r="M63" s="23">
        <v>0</v>
      </c>
      <c r="N63" s="23">
        <v>3</v>
      </c>
      <c r="O63" s="23">
        <v>2</v>
      </c>
      <c r="P63" s="23">
        <v>5</v>
      </c>
      <c r="Q63" s="23">
        <v>4</v>
      </c>
      <c r="R63" s="23">
        <v>12</v>
      </c>
      <c r="S63" s="23">
        <v>11</v>
      </c>
      <c r="T63" s="23">
        <v>30</v>
      </c>
      <c r="U63" s="23">
        <v>25</v>
      </c>
      <c r="V63" s="23">
        <v>36</v>
      </c>
      <c r="W63" s="28">
        <v>40</v>
      </c>
    </row>
    <row r="64" spans="1:23" x14ac:dyDescent="0.25">
      <c r="A64" s="20">
        <v>19</v>
      </c>
      <c r="B64" s="27">
        <v>45058</v>
      </c>
      <c r="C64" s="23">
        <v>177</v>
      </c>
      <c r="D64" s="23">
        <v>0</v>
      </c>
      <c r="E64" s="23">
        <v>0</v>
      </c>
      <c r="F64" s="23">
        <v>0</v>
      </c>
      <c r="G64" s="23">
        <v>0</v>
      </c>
      <c r="H64" s="23">
        <v>0</v>
      </c>
      <c r="I64" s="23">
        <v>0</v>
      </c>
      <c r="J64" s="23">
        <v>0</v>
      </c>
      <c r="K64" s="23">
        <v>0</v>
      </c>
      <c r="L64" s="23">
        <v>0</v>
      </c>
      <c r="M64" s="23">
        <v>0</v>
      </c>
      <c r="N64" s="23">
        <v>0</v>
      </c>
      <c r="O64" s="23">
        <v>2</v>
      </c>
      <c r="P64" s="23">
        <v>6</v>
      </c>
      <c r="Q64" s="23">
        <v>7</v>
      </c>
      <c r="R64" s="23">
        <v>12</v>
      </c>
      <c r="S64" s="23">
        <v>8</v>
      </c>
      <c r="T64" s="23">
        <v>25</v>
      </c>
      <c r="U64" s="23">
        <v>31</v>
      </c>
      <c r="V64" s="23">
        <v>41</v>
      </c>
      <c r="W64" s="28">
        <v>45</v>
      </c>
    </row>
    <row r="65" spans="1:23" x14ac:dyDescent="0.25">
      <c r="A65" s="20">
        <v>20</v>
      </c>
      <c r="B65" s="27">
        <v>45065</v>
      </c>
      <c r="C65" s="23">
        <v>174</v>
      </c>
      <c r="D65" s="23">
        <v>0</v>
      </c>
      <c r="E65" s="23">
        <v>0</v>
      </c>
      <c r="F65" s="23">
        <v>0</v>
      </c>
      <c r="G65" s="23">
        <v>0</v>
      </c>
      <c r="H65" s="23">
        <v>0</v>
      </c>
      <c r="I65" s="23">
        <v>0</v>
      </c>
      <c r="J65" s="23">
        <v>0</v>
      </c>
      <c r="K65" s="23">
        <v>1</v>
      </c>
      <c r="L65" s="23">
        <v>0</v>
      </c>
      <c r="M65" s="23">
        <v>0</v>
      </c>
      <c r="N65" s="23">
        <v>2</v>
      </c>
      <c r="O65" s="23">
        <v>2</v>
      </c>
      <c r="P65" s="23">
        <v>4</v>
      </c>
      <c r="Q65" s="23">
        <v>4</v>
      </c>
      <c r="R65" s="23">
        <v>11</v>
      </c>
      <c r="S65" s="23">
        <v>16</v>
      </c>
      <c r="T65" s="23">
        <v>26</v>
      </c>
      <c r="U65" s="23">
        <v>39</v>
      </c>
      <c r="V65" s="23">
        <v>38</v>
      </c>
      <c r="W65" s="28">
        <v>31</v>
      </c>
    </row>
    <row r="66" spans="1:23" x14ac:dyDescent="0.25">
      <c r="A66" s="20">
        <v>21</v>
      </c>
      <c r="B66" s="27">
        <v>45072</v>
      </c>
      <c r="C66" s="23">
        <v>159</v>
      </c>
      <c r="D66" s="23">
        <v>0</v>
      </c>
      <c r="E66" s="23">
        <v>0</v>
      </c>
      <c r="F66" s="23">
        <v>0</v>
      </c>
      <c r="G66" s="23">
        <v>0</v>
      </c>
      <c r="H66" s="23">
        <v>0</v>
      </c>
      <c r="I66" s="23">
        <v>0</v>
      </c>
      <c r="J66" s="23">
        <v>0</v>
      </c>
      <c r="K66" s="23">
        <v>0</v>
      </c>
      <c r="L66" s="23">
        <v>0</v>
      </c>
      <c r="M66" s="23">
        <v>0</v>
      </c>
      <c r="N66" s="23">
        <v>1</v>
      </c>
      <c r="O66" s="23">
        <v>2</v>
      </c>
      <c r="P66" s="23">
        <v>3</v>
      </c>
      <c r="Q66" s="23">
        <v>7</v>
      </c>
      <c r="R66" s="23">
        <v>8</v>
      </c>
      <c r="S66" s="23">
        <v>15</v>
      </c>
      <c r="T66" s="23">
        <v>15</v>
      </c>
      <c r="U66" s="23">
        <v>35</v>
      </c>
      <c r="V66" s="23">
        <v>31</v>
      </c>
      <c r="W66" s="28">
        <v>42</v>
      </c>
    </row>
    <row r="67" spans="1:23" x14ac:dyDescent="0.25">
      <c r="A67" s="20">
        <v>22</v>
      </c>
      <c r="B67" s="27">
        <v>45079</v>
      </c>
      <c r="C67" s="23">
        <v>109</v>
      </c>
      <c r="D67" s="23">
        <v>0</v>
      </c>
      <c r="E67" s="23">
        <v>0</v>
      </c>
      <c r="F67" s="23">
        <v>0</v>
      </c>
      <c r="G67" s="23">
        <v>0</v>
      </c>
      <c r="H67" s="23">
        <v>0</v>
      </c>
      <c r="I67" s="23">
        <v>0</v>
      </c>
      <c r="J67" s="23">
        <v>0</v>
      </c>
      <c r="K67" s="23">
        <v>0</v>
      </c>
      <c r="L67" s="23">
        <v>0</v>
      </c>
      <c r="M67" s="23">
        <v>0</v>
      </c>
      <c r="N67" s="23">
        <v>0</v>
      </c>
      <c r="O67" s="23">
        <v>1</v>
      </c>
      <c r="P67" s="23">
        <v>2</v>
      </c>
      <c r="Q67" s="23">
        <v>2</v>
      </c>
      <c r="R67" s="23">
        <v>4</v>
      </c>
      <c r="S67" s="23">
        <v>10</v>
      </c>
      <c r="T67" s="23">
        <v>25</v>
      </c>
      <c r="U67" s="23">
        <v>21</v>
      </c>
      <c r="V67" s="23">
        <v>27</v>
      </c>
      <c r="W67" s="28">
        <v>17</v>
      </c>
    </row>
    <row r="68" spans="1:23" x14ac:dyDescent="0.25">
      <c r="A68" s="20">
        <v>23</v>
      </c>
      <c r="B68" s="27">
        <v>45086</v>
      </c>
      <c r="C68" s="23">
        <v>123</v>
      </c>
      <c r="D68" s="23">
        <v>0</v>
      </c>
      <c r="E68" s="23">
        <v>0</v>
      </c>
      <c r="F68" s="23">
        <v>0</v>
      </c>
      <c r="G68" s="23">
        <v>0</v>
      </c>
      <c r="H68" s="23">
        <v>0</v>
      </c>
      <c r="I68" s="23">
        <v>0</v>
      </c>
      <c r="J68" s="23">
        <v>0</v>
      </c>
      <c r="K68" s="23">
        <v>2</v>
      </c>
      <c r="L68" s="23">
        <v>0</v>
      </c>
      <c r="M68" s="23">
        <v>1</v>
      </c>
      <c r="N68" s="23">
        <v>2</v>
      </c>
      <c r="O68" s="23">
        <v>2</v>
      </c>
      <c r="P68" s="23">
        <v>3</v>
      </c>
      <c r="Q68" s="23">
        <v>9</v>
      </c>
      <c r="R68" s="23">
        <v>9</v>
      </c>
      <c r="S68" s="23">
        <v>10</v>
      </c>
      <c r="T68" s="23">
        <v>18</v>
      </c>
      <c r="U68" s="23">
        <v>25</v>
      </c>
      <c r="V68" s="23">
        <v>23</v>
      </c>
      <c r="W68" s="28">
        <v>19</v>
      </c>
    </row>
    <row r="69" spans="1:23" x14ac:dyDescent="0.25">
      <c r="A69" s="20">
        <v>24</v>
      </c>
      <c r="B69" s="27">
        <v>45093</v>
      </c>
      <c r="C69" s="23">
        <v>94</v>
      </c>
      <c r="D69" s="23">
        <v>1</v>
      </c>
      <c r="E69" s="23">
        <v>0</v>
      </c>
      <c r="F69" s="23">
        <v>0</v>
      </c>
      <c r="G69" s="23">
        <v>0</v>
      </c>
      <c r="H69" s="23">
        <v>0</v>
      </c>
      <c r="I69" s="23">
        <v>0</v>
      </c>
      <c r="J69" s="23">
        <v>0</v>
      </c>
      <c r="K69" s="23">
        <v>0</v>
      </c>
      <c r="L69" s="23">
        <v>0</v>
      </c>
      <c r="M69" s="23">
        <v>0</v>
      </c>
      <c r="N69" s="23">
        <v>0</v>
      </c>
      <c r="O69" s="23">
        <v>0</v>
      </c>
      <c r="P69" s="23">
        <v>4</v>
      </c>
      <c r="Q69" s="23">
        <v>1</v>
      </c>
      <c r="R69" s="23">
        <v>4</v>
      </c>
      <c r="S69" s="23">
        <v>7</v>
      </c>
      <c r="T69" s="23">
        <v>17</v>
      </c>
      <c r="U69" s="23">
        <v>22</v>
      </c>
      <c r="V69" s="23">
        <v>19</v>
      </c>
      <c r="W69" s="28">
        <v>19</v>
      </c>
    </row>
    <row r="70" spans="1:23" x14ac:dyDescent="0.25">
      <c r="A70" s="20">
        <v>25</v>
      </c>
      <c r="B70" s="27">
        <v>45100</v>
      </c>
      <c r="C70" s="23">
        <v>83</v>
      </c>
      <c r="D70" s="23">
        <v>0</v>
      </c>
      <c r="E70" s="23">
        <v>0</v>
      </c>
      <c r="F70" s="23">
        <v>0</v>
      </c>
      <c r="G70" s="23">
        <v>0</v>
      </c>
      <c r="H70" s="23">
        <v>0</v>
      </c>
      <c r="I70" s="23">
        <v>0</v>
      </c>
      <c r="J70" s="23">
        <v>0</v>
      </c>
      <c r="K70" s="23">
        <v>0</v>
      </c>
      <c r="L70" s="23">
        <v>0</v>
      </c>
      <c r="M70" s="23">
        <v>0</v>
      </c>
      <c r="N70" s="23">
        <v>0</v>
      </c>
      <c r="O70" s="23">
        <v>1</v>
      </c>
      <c r="P70" s="23">
        <v>2</v>
      </c>
      <c r="Q70" s="23">
        <v>4</v>
      </c>
      <c r="R70" s="23">
        <v>5</v>
      </c>
      <c r="S70" s="23">
        <v>9</v>
      </c>
      <c r="T70" s="23">
        <v>14</v>
      </c>
      <c r="U70" s="23">
        <v>14</v>
      </c>
      <c r="V70" s="23">
        <v>17</v>
      </c>
      <c r="W70" s="28">
        <v>17</v>
      </c>
    </row>
    <row r="71" spans="1:23" x14ac:dyDescent="0.25">
      <c r="A71" s="20">
        <v>26</v>
      </c>
      <c r="B71" s="27">
        <v>45107</v>
      </c>
      <c r="C71" s="23">
        <v>69</v>
      </c>
      <c r="D71" s="23">
        <v>0</v>
      </c>
      <c r="E71" s="23">
        <v>0</v>
      </c>
      <c r="F71" s="23">
        <v>0</v>
      </c>
      <c r="G71" s="23">
        <v>0</v>
      </c>
      <c r="H71" s="23">
        <v>0</v>
      </c>
      <c r="I71" s="23">
        <v>0</v>
      </c>
      <c r="J71" s="23">
        <v>0</v>
      </c>
      <c r="K71" s="23">
        <v>0</v>
      </c>
      <c r="L71" s="23">
        <v>0</v>
      </c>
      <c r="M71" s="23">
        <v>1</v>
      </c>
      <c r="N71" s="23">
        <v>2</v>
      </c>
      <c r="O71" s="23">
        <v>0</v>
      </c>
      <c r="P71" s="23">
        <v>2</v>
      </c>
      <c r="Q71" s="23">
        <v>3</v>
      </c>
      <c r="R71" s="23">
        <v>4</v>
      </c>
      <c r="S71" s="23">
        <v>7</v>
      </c>
      <c r="T71" s="23">
        <v>8</v>
      </c>
      <c r="U71" s="23">
        <v>18</v>
      </c>
      <c r="V71" s="23">
        <v>12</v>
      </c>
      <c r="W71" s="28">
        <v>12</v>
      </c>
    </row>
    <row r="72" spans="1:23" x14ac:dyDescent="0.25">
      <c r="A72" s="20">
        <v>27</v>
      </c>
      <c r="B72" s="27">
        <v>45114</v>
      </c>
      <c r="C72" s="23">
        <v>52</v>
      </c>
      <c r="D72" s="23">
        <v>0</v>
      </c>
      <c r="E72" s="23">
        <v>0</v>
      </c>
      <c r="F72" s="23">
        <v>0</v>
      </c>
      <c r="G72" s="23">
        <v>0</v>
      </c>
      <c r="H72" s="23">
        <v>0</v>
      </c>
      <c r="I72" s="23">
        <v>0</v>
      </c>
      <c r="J72" s="23">
        <v>0</v>
      </c>
      <c r="K72" s="23">
        <v>0</v>
      </c>
      <c r="L72" s="23">
        <v>0</v>
      </c>
      <c r="M72" s="23">
        <v>0</v>
      </c>
      <c r="N72" s="23">
        <v>0</v>
      </c>
      <c r="O72" s="23">
        <v>1</v>
      </c>
      <c r="P72" s="23">
        <v>0</v>
      </c>
      <c r="Q72" s="23">
        <v>3</v>
      </c>
      <c r="R72" s="23">
        <v>5</v>
      </c>
      <c r="S72" s="23">
        <v>3</v>
      </c>
      <c r="T72" s="23">
        <v>6</v>
      </c>
      <c r="U72" s="23">
        <v>7</v>
      </c>
      <c r="V72" s="23">
        <v>14</v>
      </c>
      <c r="W72" s="28">
        <v>13</v>
      </c>
    </row>
    <row r="73" spans="1:23" x14ac:dyDescent="0.25">
      <c r="A73" s="20">
        <v>28</v>
      </c>
      <c r="B73" s="27">
        <v>45121</v>
      </c>
      <c r="C73" s="23">
        <v>48</v>
      </c>
      <c r="D73" s="23">
        <v>0</v>
      </c>
      <c r="E73" s="23">
        <v>0</v>
      </c>
      <c r="F73" s="23">
        <v>0</v>
      </c>
      <c r="G73" s="23">
        <v>1</v>
      </c>
      <c r="H73" s="23">
        <v>0</v>
      </c>
      <c r="I73" s="23">
        <v>0</v>
      </c>
      <c r="J73" s="23">
        <v>0</v>
      </c>
      <c r="K73" s="23">
        <v>0</v>
      </c>
      <c r="L73" s="23">
        <v>0</v>
      </c>
      <c r="M73" s="23">
        <v>0</v>
      </c>
      <c r="N73" s="23">
        <v>0</v>
      </c>
      <c r="O73" s="23">
        <v>0</v>
      </c>
      <c r="P73" s="23">
        <v>2</v>
      </c>
      <c r="Q73" s="23">
        <v>4</v>
      </c>
      <c r="R73" s="23">
        <v>2</v>
      </c>
      <c r="S73" s="23">
        <v>10</v>
      </c>
      <c r="T73" s="23">
        <v>9</v>
      </c>
      <c r="U73" s="23">
        <v>6</v>
      </c>
      <c r="V73" s="23">
        <v>6</v>
      </c>
      <c r="W73" s="28">
        <v>8</v>
      </c>
    </row>
    <row r="74" spans="1:23" x14ac:dyDescent="0.25">
      <c r="A74" s="20">
        <v>29</v>
      </c>
      <c r="B74" s="27">
        <v>45128</v>
      </c>
      <c r="C74" s="23">
        <v>37</v>
      </c>
      <c r="D74" s="23">
        <v>0</v>
      </c>
      <c r="E74" s="23">
        <v>0</v>
      </c>
      <c r="F74" s="23">
        <v>0</v>
      </c>
      <c r="G74" s="23">
        <v>0</v>
      </c>
      <c r="H74" s="23">
        <v>0</v>
      </c>
      <c r="I74" s="23">
        <v>0</v>
      </c>
      <c r="J74" s="23">
        <v>0</v>
      </c>
      <c r="K74" s="23">
        <v>0</v>
      </c>
      <c r="L74" s="23">
        <v>0</v>
      </c>
      <c r="M74" s="23">
        <v>0</v>
      </c>
      <c r="N74" s="23">
        <v>1</v>
      </c>
      <c r="O74" s="23">
        <v>1</v>
      </c>
      <c r="P74" s="23">
        <v>3</v>
      </c>
      <c r="Q74" s="23">
        <v>1</v>
      </c>
      <c r="R74" s="23">
        <v>1</v>
      </c>
      <c r="S74" s="23">
        <v>3</v>
      </c>
      <c r="T74" s="23">
        <v>5</v>
      </c>
      <c r="U74" s="23">
        <v>8</v>
      </c>
      <c r="V74" s="23">
        <v>8</v>
      </c>
      <c r="W74" s="28">
        <v>6</v>
      </c>
    </row>
    <row r="75" spans="1:23" x14ac:dyDescent="0.25">
      <c r="A75" s="20">
        <v>30</v>
      </c>
      <c r="B75" s="27">
        <v>45135</v>
      </c>
      <c r="C75" s="23">
        <v>38</v>
      </c>
      <c r="D75" s="23">
        <v>0</v>
      </c>
      <c r="E75" s="23">
        <v>0</v>
      </c>
      <c r="F75" s="23">
        <v>0</v>
      </c>
      <c r="G75" s="23">
        <v>0</v>
      </c>
      <c r="H75" s="23">
        <v>0</v>
      </c>
      <c r="I75" s="23">
        <v>0</v>
      </c>
      <c r="J75" s="23">
        <v>2</v>
      </c>
      <c r="K75" s="23">
        <v>0</v>
      </c>
      <c r="L75" s="23">
        <v>0</v>
      </c>
      <c r="M75" s="23">
        <v>0</v>
      </c>
      <c r="N75" s="23">
        <v>0</v>
      </c>
      <c r="O75" s="23">
        <v>2</v>
      </c>
      <c r="P75" s="23">
        <v>1</v>
      </c>
      <c r="Q75" s="23">
        <v>0</v>
      </c>
      <c r="R75" s="23">
        <v>3</v>
      </c>
      <c r="S75" s="23">
        <v>5</v>
      </c>
      <c r="T75" s="23">
        <v>9</v>
      </c>
      <c r="U75" s="23">
        <v>5</v>
      </c>
      <c r="V75" s="23">
        <v>7</v>
      </c>
      <c r="W75" s="28">
        <v>4</v>
      </c>
    </row>
    <row r="76" spans="1:23" x14ac:dyDescent="0.25">
      <c r="A76" s="20">
        <v>31</v>
      </c>
      <c r="B76" s="27">
        <v>45142</v>
      </c>
      <c r="C76" s="23">
        <v>39</v>
      </c>
      <c r="D76" s="23">
        <v>0</v>
      </c>
      <c r="E76" s="23">
        <v>1</v>
      </c>
      <c r="F76" s="23">
        <v>0</v>
      </c>
      <c r="G76" s="23">
        <v>0</v>
      </c>
      <c r="H76" s="23">
        <v>0</v>
      </c>
      <c r="I76" s="23">
        <v>0</v>
      </c>
      <c r="J76" s="23">
        <v>0</v>
      </c>
      <c r="K76" s="23">
        <v>0</v>
      </c>
      <c r="L76" s="23">
        <v>0</v>
      </c>
      <c r="M76" s="23">
        <v>0</v>
      </c>
      <c r="N76" s="23">
        <v>0</v>
      </c>
      <c r="O76" s="23">
        <v>0</v>
      </c>
      <c r="P76" s="23">
        <v>0</v>
      </c>
      <c r="Q76" s="23">
        <v>3</v>
      </c>
      <c r="R76" s="23">
        <v>2</v>
      </c>
      <c r="S76" s="23">
        <v>3</v>
      </c>
      <c r="T76" s="23">
        <v>3</v>
      </c>
      <c r="U76" s="23">
        <v>7</v>
      </c>
      <c r="V76" s="23">
        <v>11</v>
      </c>
      <c r="W76" s="28">
        <v>9</v>
      </c>
    </row>
    <row r="77" spans="1:23" x14ac:dyDescent="0.25">
      <c r="A77" s="20">
        <v>32</v>
      </c>
      <c r="B77" s="27">
        <v>45149</v>
      </c>
      <c r="C77" s="23">
        <v>75</v>
      </c>
      <c r="D77" s="23">
        <v>0</v>
      </c>
      <c r="E77" s="23">
        <v>0</v>
      </c>
      <c r="F77" s="23">
        <v>0</v>
      </c>
      <c r="G77" s="23">
        <v>0</v>
      </c>
      <c r="H77" s="23">
        <v>0</v>
      </c>
      <c r="I77" s="23">
        <v>0</v>
      </c>
      <c r="J77" s="23">
        <v>0</v>
      </c>
      <c r="K77" s="23">
        <v>0</v>
      </c>
      <c r="L77" s="23">
        <v>0</v>
      </c>
      <c r="M77" s="23">
        <v>0</v>
      </c>
      <c r="N77" s="23">
        <v>0</v>
      </c>
      <c r="O77" s="23">
        <v>1</v>
      </c>
      <c r="P77" s="23">
        <v>1</v>
      </c>
      <c r="Q77" s="23">
        <v>2</v>
      </c>
      <c r="R77" s="23">
        <v>3</v>
      </c>
      <c r="S77" s="23">
        <v>8</v>
      </c>
      <c r="T77" s="23">
        <v>17</v>
      </c>
      <c r="U77" s="23">
        <v>12</v>
      </c>
      <c r="V77" s="23">
        <v>16</v>
      </c>
      <c r="W77" s="28">
        <v>15</v>
      </c>
    </row>
    <row r="78" spans="1:23" x14ac:dyDescent="0.25">
      <c r="A78" s="20">
        <v>33</v>
      </c>
      <c r="B78" s="27">
        <v>45156</v>
      </c>
      <c r="C78" s="23">
        <v>76</v>
      </c>
      <c r="D78" s="23">
        <v>0</v>
      </c>
      <c r="E78" s="23">
        <v>0</v>
      </c>
      <c r="F78" s="23">
        <v>0</v>
      </c>
      <c r="G78" s="23">
        <v>0</v>
      </c>
      <c r="H78" s="23">
        <v>0</v>
      </c>
      <c r="I78" s="23">
        <v>0</v>
      </c>
      <c r="J78" s="23">
        <v>1</v>
      </c>
      <c r="K78" s="23">
        <v>0</v>
      </c>
      <c r="L78" s="23">
        <v>0</v>
      </c>
      <c r="M78" s="23">
        <v>1</v>
      </c>
      <c r="N78" s="23">
        <v>0</v>
      </c>
      <c r="O78" s="23">
        <v>2</v>
      </c>
      <c r="P78" s="23">
        <v>0</v>
      </c>
      <c r="Q78" s="23">
        <v>1</v>
      </c>
      <c r="R78" s="23">
        <v>5</v>
      </c>
      <c r="S78" s="23">
        <v>12</v>
      </c>
      <c r="T78" s="23">
        <v>9</v>
      </c>
      <c r="U78" s="23">
        <v>13</v>
      </c>
      <c r="V78" s="23">
        <v>20</v>
      </c>
      <c r="W78" s="28">
        <v>12</v>
      </c>
    </row>
    <row r="79" spans="1:23" x14ac:dyDescent="0.25">
      <c r="A79" s="20">
        <v>34</v>
      </c>
      <c r="B79" s="27">
        <v>45163</v>
      </c>
      <c r="C79" s="23">
        <v>131</v>
      </c>
      <c r="D79" s="23">
        <v>0</v>
      </c>
      <c r="E79" s="23">
        <v>0</v>
      </c>
      <c r="F79" s="23">
        <v>1</v>
      </c>
      <c r="G79" s="23">
        <v>0</v>
      </c>
      <c r="H79" s="23">
        <v>0</v>
      </c>
      <c r="I79" s="23">
        <v>0</v>
      </c>
      <c r="J79" s="23">
        <v>0</v>
      </c>
      <c r="K79" s="23">
        <v>1</v>
      </c>
      <c r="L79" s="23">
        <v>0</v>
      </c>
      <c r="M79" s="23">
        <v>0</v>
      </c>
      <c r="N79" s="23">
        <v>1</v>
      </c>
      <c r="O79" s="23">
        <v>3</v>
      </c>
      <c r="P79" s="23">
        <v>2</v>
      </c>
      <c r="Q79" s="23">
        <v>5</v>
      </c>
      <c r="R79" s="23">
        <v>10</v>
      </c>
      <c r="S79" s="23">
        <v>9</v>
      </c>
      <c r="T79" s="23">
        <v>21</v>
      </c>
      <c r="U79" s="23">
        <v>23</v>
      </c>
      <c r="V79" s="23">
        <v>30</v>
      </c>
      <c r="W79" s="28">
        <v>25</v>
      </c>
    </row>
    <row r="80" spans="1:23" x14ac:dyDescent="0.25">
      <c r="A80" s="20">
        <v>35</v>
      </c>
      <c r="B80" s="27">
        <v>45170</v>
      </c>
      <c r="C80" s="23">
        <v>96</v>
      </c>
      <c r="D80" s="23">
        <v>0</v>
      </c>
      <c r="E80" s="23">
        <v>0</v>
      </c>
      <c r="F80" s="23">
        <v>0</v>
      </c>
      <c r="G80" s="23">
        <v>0</v>
      </c>
      <c r="H80" s="23">
        <v>0</v>
      </c>
      <c r="I80" s="23">
        <v>0</v>
      </c>
      <c r="J80" s="23">
        <v>0</v>
      </c>
      <c r="K80" s="23">
        <v>0</v>
      </c>
      <c r="L80" s="23">
        <v>0</v>
      </c>
      <c r="M80" s="23">
        <v>0</v>
      </c>
      <c r="N80" s="23">
        <v>1</v>
      </c>
      <c r="O80" s="23">
        <v>1</v>
      </c>
      <c r="P80" s="23">
        <v>2</v>
      </c>
      <c r="Q80" s="23">
        <v>5</v>
      </c>
      <c r="R80" s="23">
        <v>8</v>
      </c>
      <c r="S80" s="23">
        <v>13</v>
      </c>
      <c r="T80" s="23">
        <v>8</v>
      </c>
      <c r="U80" s="23">
        <v>21</v>
      </c>
      <c r="V80" s="23">
        <v>18</v>
      </c>
      <c r="W80" s="28">
        <v>19</v>
      </c>
    </row>
    <row r="81" spans="1:23" x14ac:dyDescent="0.25">
      <c r="A81" s="10"/>
      <c r="B81" s="10"/>
      <c r="C81" s="10"/>
      <c r="D81" s="10"/>
      <c r="E81" s="10"/>
      <c r="F81" s="10"/>
      <c r="G81" s="10"/>
      <c r="H81" s="10"/>
      <c r="I81" s="10"/>
      <c r="J81" s="10"/>
      <c r="K81" s="10"/>
      <c r="L81" s="10"/>
      <c r="M81" s="10"/>
      <c r="N81" s="10"/>
      <c r="O81" s="10"/>
      <c r="P81" s="10"/>
      <c r="Q81" s="10"/>
      <c r="R81" s="10"/>
      <c r="S81" s="10"/>
      <c r="T81" s="10"/>
      <c r="U81" s="10"/>
      <c r="V81" s="10"/>
      <c r="W81" s="10"/>
    </row>
    <row r="82" spans="1:23" ht="15.6" x14ac:dyDescent="0.3">
      <c r="A82" s="3" t="s">
        <v>167</v>
      </c>
    </row>
    <row r="83" spans="1:23" ht="15.6" x14ac:dyDescent="0.3">
      <c r="A83" s="30" t="s">
        <v>116</v>
      </c>
      <c r="B83" s="11" t="s">
        <v>131</v>
      </c>
      <c r="C83" s="21" t="s">
        <v>132</v>
      </c>
      <c r="D83" s="21" t="s">
        <v>133</v>
      </c>
      <c r="E83" s="21" t="s">
        <v>134</v>
      </c>
      <c r="F83" s="21" t="s">
        <v>135</v>
      </c>
      <c r="G83" s="21" t="s">
        <v>136</v>
      </c>
      <c r="H83" s="21" t="s">
        <v>137</v>
      </c>
      <c r="I83" s="21" t="s">
        <v>138</v>
      </c>
      <c r="J83" s="21" t="s">
        <v>139</v>
      </c>
      <c r="K83" s="21" t="s">
        <v>140</v>
      </c>
      <c r="L83" s="21" t="s">
        <v>141</v>
      </c>
      <c r="M83" s="21" t="s">
        <v>142</v>
      </c>
      <c r="N83" s="21" t="s">
        <v>143</v>
      </c>
      <c r="O83" s="21" t="s">
        <v>144</v>
      </c>
      <c r="P83" s="21" t="s">
        <v>145</v>
      </c>
      <c r="Q83" s="21" t="s">
        <v>146</v>
      </c>
      <c r="R83" s="21" t="s">
        <v>147</v>
      </c>
      <c r="S83" s="21" t="s">
        <v>148</v>
      </c>
      <c r="T83" s="21" t="s">
        <v>149</v>
      </c>
      <c r="U83" s="21" t="s">
        <v>150</v>
      </c>
      <c r="V83" s="21" t="s">
        <v>151</v>
      </c>
      <c r="W83" s="24" t="s">
        <v>152</v>
      </c>
    </row>
    <row r="84" spans="1:23" x14ac:dyDescent="0.25">
      <c r="A84" s="19">
        <v>1</v>
      </c>
      <c r="B84" s="25">
        <v>44932</v>
      </c>
      <c r="C84" s="22">
        <v>360</v>
      </c>
      <c r="D84" s="22">
        <v>0</v>
      </c>
      <c r="E84" s="22">
        <v>0</v>
      </c>
      <c r="F84" s="22">
        <v>0</v>
      </c>
      <c r="G84" s="22">
        <v>0</v>
      </c>
      <c r="H84" s="22">
        <v>0</v>
      </c>
      <c r="I84" s="22">
        <v>0</v>
      </c>
      <c r="J84" s="22">
        <v>0</v>
      </c>
      <c r="K84" s="22">
        <v>0</v>
      </c>
      <c r="L84" s="22">
        <v>0</v>
      </c>
      <c r="M84" s="22">
        <v>1</v>
      </c>
      <c r="N84" s="22">
        <v>0</v>
      </c>
      <c r="O84" s="22">
        <v>8</v>
      </c>
      <c r="P84" s="22">
        <v>3</v>
      </c>
      <c r="Q84" s="22">
        <v>14</v>
      </c>
      <c r="R84" s="22">
        <v>11</v>
      </c>
      <c r="S84" s="22">
        <v>31</v>
      </c>
      <c r="T84" s="22">
        <v>46</v>
      </c>
      <c r="U84" s="22">
        <v>63</v>
      </c>
      <c r="V84" s="22">
        <v>60</v>
      </c>
      <c r="W84" s="26">
        <v>123</v>
      </c>
    </row>
    <row r="85" spans="1:23" x14ac:dyDescent="0.25">
      <c r="A85" s="20">
        <v>2</v>
      </c>
      <c r="B85" s="27">
        <v>44939</v>
      </c>
      <c r="C85" s="23">
        <v>430</v>
      </c>
      <c r="D85" s="23">
        <v>0</v>
      </c>
      <c r="E85" s="23">
        <v>0</v>
      </c>
      <c r="F85" s="23">
        <v>0</v>
      </c>
      <c r="G85" s="23">
        <v>0</v>
      </c>
      <c r="H85" s="23">
        <v>0</v>
      </c>
      <c r="I85" s="23">
        <v>0</v>
      </c>
      <c r="J85" s="23">
        <v>0</v>
      </c>
      <c r="K85" s="23">
        <v>2</v>
      </c>
      <c r="L85" s="23">
        <v>0</v>
      </c>
      <c r="M85" s="23">
        <v>4</v>
      </c>
      <c r="N85" s="23">
        <v>1</v>
      </c>
      <c r="O85" s="23">
        <v>10</v>
      </c>
      <c r="P85" s="23">
        <v>10</v>
      </c>
      <c r="Q85" s="23">
        <v>12</v>
      </c>
      <c r="R85" s="23">
        <v>17</v>
      </c>
      <c r="S85" s="23">
        <v>27</v>
      </c>
      <c r="T85" s="23">
        <v>40</v>
      </c>
      <c r="U85" s="23">
        <v>56</v>
      </c>
      <c r="V85" s="23">
        <v>100</v>
      </c>
      <c r="W85" s="28">
        <v>151</v>
      </c>
    </row>
    <row r="86" spans="1:23" x14ac:dyDescent="0.25">
      <c r="A86" s="20">
        <v>3</v>
      </c>
      <c r="B86" s="27">
        <v>44946</v>
      </c>
      <c r="C86" s="23">
        <v>392</v>
      </c>
      <c r="D86" s="23">
        <v>0</v>
      </c>
      <c r="E86" s="23">
        <v>0</v>
      </c>
      <c r="F86" s="23">
        <v>0</v>
      </c>
      <c r="G86" s="23">
        <v>0</v>
      </c>
      <c r="H86" s="23">
        <v>0</v>
      </c>
      <c r="I86" s="23">
        <v>0</v>
      </c>
      <c r="J86" s="23">
        <v>0</v>
      </c>
      <c r="K86" s="23">
        <v>1</v>
      </c>
      <c r="L86" s="23">
        <v>2</v>
      </c>
      <c r="M86" s="23">
        <v>4</v>
      </c>
      <c r="N86" s="23">
        <v>1</v>
      </c>
      <c r="O86" s="23">
        <v>6</v>
      </c>
      <c r="P86" s="23">
        <v>13</v>
      </c>
      <c r="Q86" s="23">
        <v>10</v>
      </c>
      <c r="R86" s="23">
        <v>18</v>
      </c>
      <c r="S86" s="23">
        <v>20</v>
      </c>
      <c r="T86" s="23">
        <v>44</v>
      </c>
      <c r="U86" s="23">
        <v>56</v>
      </c>
      <c r="V86" s="23">
        <v>81</v>
      </c>
      <c r="W86" s="28">
        <v>136</v>
      </c>
    </row>
    <row r="87" spans="1:23" x14ac:dyDescent="0.25">
      <c r="A87" s="20">
        <v>4</v>
      </c>
      <c r="B87" s="27">
        <v>44953</v>
      </c>
      <c r="C87" s="23">
        <v>271</v>
      </c>
      <c r="D87" s="23">
        <v>0</v>
      </c>
      <c r="E87" s="23">
        <v>0</v>
      </c>
      <c r="F87" s="23">
        <v>0</v>
      </c>
      <c r="G87" s="23">
        <v>1</v>
      </c>
      <c r="H87" s="23">
        <v>0</v>
      </c>
      <c r="I87" s="23">
        <v>0</v>
      </c>
      <c r="J87" s="23">
        <v>0</v>
      </c>
      <c r="K87" s="23">
        <v>1</v>
      </c>
      <c r="L87" s="23">
        <v>1</v>
      </c>
      <c r="M87" s="23">
        <v>1</v>
      </c>
      <c r="N87" s="23">
        <v>4</v>
      </c>
      <c r="O87" s="23">
        <v>2</v>
      </c>
      <c r="P87" s="23">
        <v>3</v>
      </c>
      <c r="Q87" s="23">
        <v>3</v>
      </c>
      <c r="R87" s="23">
        <v>12</v>
      </c>
      <c r="S87" s="23">
        <v>15</v>
      </c>
      <c r="T87" s="23">
        <v>34</v>
      </c>
      <c r="U87" s="23">
        <v>45</v>
      </c>
      <c r="V87" s="23">
        <v>64</v>
      </c>
      <c r="W87" s="28">
        <v>85</v>
      </c>
    </row>
    <row r="88" spans="1:23" x14ac:dyDescent="0.25">
      <c r="A88" s="20">
        <v>5</v>
      </c>
      <c r="B88" s="27">
        <v>44960</v>
      </c>
      <c r="C88" s="23">
        <v>237</v>
      </c>
      <c r="D88" s="23">
        <v>0</v>
      </c>
      <c r="E88" s="23">
        <v>0</v>
      </c>
      <c r="F88" s="23">
        <v>0</v>
      </c>
      <c r="G88" s="23">
        <v>0</v>
      </c>
      <c r="H88" s="23">
        <v>0</v>
      </c>
      <c r="I88" s="23">
        <v>0</v>
      </c>
      <c r="J88" s="23">
        <v>0</v>
      </c>
      <c r="K88" s="23">
        <v>0</v>
      </c>
      <c r="L88" s="23">
        <v>4</v>
      </c>
      <c r="M88" s="23">
        <v>1</v>
      </c>
      <c r="N88" s="23">
        <v>4</v>
      </c>
      <c r="O88" s="23">
        <v>3</v>
      </c>
      <c r="P88" s="23">
        <v>5</v>
      </c>
      <c r="Q88" s="23">
        <v>6</v>
      </c>
      <c r="R88" s="23">
        <v>13</v>
      </c>
      <c r="S88" s="23">
        <v>9</v>
      </c>
      <c r="T88" s="23">
        <v>26</v>
      </c>
      <c r="U88" s="23">
        <v>41</v>
      </c>
      <c r="V88" s="23">
        <v>40</v>
      </c>
      <c r="W88" s="28">
        <v>85</v>
      </c>
    </row>
    <row r="89" spans="1:23" x14ac:dyDescent="0.25">
      <c r="A89" s="20">
        <v>6</v>
      </c>
      <c r="B89" s="27">
        <v>44967</v>
      </c>
      <c r="C89" s="23">
        <v>212</v>
      </c>
      <c r="D89" s="23">
        <v>0</v>
      </c>
      <c r="E89" s="23">
        <v>0</v>
      </c>
      <c r="F89" s="23">
        <v>0</v>
      </c>
      <c r="G89" s="23">
        <v>0</v>
      </c>
      <c r="H89" s="23">
        <v>0</v>
      </c>
      <c r="I89" s="23">
        <v>0</v>
      </c>
      <c r="J89" s="23">
        <v>0</v>
      </c>
      <c r="K89" s="23">
        <v>1</v>
      </c>
      <c r="L89" s="23">
        <v>0</v>
      </c>
      <c r="M89" s="23">
        <v>0</v>
      </c>
      <c r="N89" s="23">
        <v>1</v>
      </c>
      <c r="O89" s="23">
        <v>0</v>
      </c>
      <c r="P89" s="23">
        <v>3</v>
      </c>
      <c r="Q89" s="23">
        <v>4</v>
      </c>
      <c r="R89" s="23">
        <v>5</v>
      </c>
      <c r="S89" s="23">
        <v>21</v>
      </c>
      <c r="T89" s="23">
        <v>24</v>
      </c>
      <c r="U89" s="23">
        <v>33</v>
      </c>
      <c r="V89" s="23">
        <v>44</v>
      </c>
      <c r="W89" s="28">
        <v>76</v>
      </c>
    </row>
    <row r="90" spans="1:23" x14ac:dyDescent="0.25">
      <c r="A90" s="20">
        <v>7</v>
      </c>
      <c r="B90" s="27">
        <v>44974</v>
      </c>
      <c r="C90" s="23">
        <v>194</v>
      </c>
      <c r="D90" s="23">
        <v>0</v>
      </c>
      <c r="E90" s="23">
        <v>0</v>
      </c>
      <c r="F90" s="23">
        <v>0</v>
      </c>
      <c r="G90" s="23">
        <v>0</v>
      </c>
      <c r="H90" s="23">
        <v>0</v>
      </c>
      <c r="I90" s="23">
        <v>0</v>
      </c>
      <c r="J90" s="23">
        <v>0</v>
      </c>
      <c r="K90" s="23">
        <v>0</v>
      </c>
      <c r="L90" s="23">
        <v>0</v>
      </c>
      <c r="M90" s="23">
        <v>2</v>
      </c>
      <c r="N90" s="23">
        <v>2</v>
      </c>
      <c r="O90" s="23">
        <v>2</v>
      </c>
      <c r="P90" s="23">
        <v>5</v>
      </c>
      <c r="Q90" s="23">
        <v>4</v>
      </c>
      <c r="R90" s="23">
        <v>10</v>
      </c>
      <c r="S90" s="23">
        <v>11</v>
      </c>
      <c r="T90" s="23">
        <v>25</v>
      </c>
      <c r="U90" s="23">
        <v>33</v>
      </c>
      <c r="V90" s="23">
        <v>51</v>
      </c>
      <c r="W90" s="28">
        <v>49</v>
      </c>
    </row>
    <row r="91" spans="1:23" x14ac:dyDescent="0.25">
      <c r="A91" s="20">
        <v>8</v>
      </c>
      <c r="B91" s="27">
        <v>44981</v>
      </c>
      <c r="C91" s="23">
        <v>211</v>
      </c>
      <c r="D91" s="23">
        <v>0</v>
      </c>
      <c r="E91" s="23">
        <v>0</v>
      </c>
      <c r="F91" s="23">
        <v>0</v>
      </c>
      <c r="G91" s="23">
        <v>0</v>
      </c>
      <c r="H91" s="23">
        <v>0</v>
      </c>
      <c r="I91" s="23">
        <v>0</v>
      </c>
      <c r="J91" s="23">
        <v>2</v>
      </c>
      <c r="K91" s="23">
        <v>0</v>
      </c>
      <c r="L91" s="23">
        <v>0</v>
      </c>
      <c r="M91" s="23">
        <v>2</v>
      </c>
      <c r="N91" s="23">
        <v>2</v>
      </c>
      <c r="O91" s="23">
        <v>5</v>
      </c>
      <c r="P91" s="23">
        <v>3</v>
      </c>
      <c r="Q91" s="23">
        <v>6</v>
      </c>
      <c r="R91" s="23">
        <v>11</v>
      </c>
      <c r="S91" s="23">
        <v>9</v>
      </c>
      <c r="T91" s="23">
        <v>23</v>
      </c>
      <c r="U91" s="23">
        <v>34</v>
      </c>
      <c r="V91" s="23">
        <v>43</v>
      </c>
      <c r="W91" s="28">
        <v>71</v>
      </c>
    </row>
    <row r="92" spans="1:23" x14ac:dyDescent="0.25">
      <c r="A92" s="20">
        <v>9</v>
      </c>
      <c r="B92" s="27">
        <v>44988</v>
      </c>
      <c r="C92" s="23">
        <v>257</v>
      </c>
      <c r="D92" s="23">
        <v>0</v>
      </c>
      <c r="E92" s="23">
        <v>0</v>
      </c>
      <c r="F92" s="23">
        <v>0</v>
      </c>
      <c r="G92" s="23">
        <v>0</v>
      </c>
      <c r="H92" s="23">
        <v>0</v>
      </c>
      <c r="I92" s="23">
        <v>0</v>
      </c>
      <c r="J92" s="23">
        <v>0</v>
      </c>
      <c r="K92" s="23">
        <v>0</v>
      </c>
      <c r="L92" s="23">
        <v>2</v>
      </c>
      <c r="M92" s="23">
        <v>0</v>
      </c>
      <c r="N92" s="23">
        <v>0</v>
      </c>
      <c r="O92" s="23">
        <v>2</v>
      </c>
      <c r="P92" s="23">
        <v>4</v>
      </c>
      <c r="Q92" s="23">
        <v>4</v>
      </c>
      <c r="R92" s="23">
        <v>11</v>
      </c>
      <c r="S92" s="23">
        <v>19</v>
      </c>
      <c r="T92" s="23">
        <v>35</v>
      </c>
      <c r="U92" s="23">
        <v>45</v>
      </c>
      <c r="V92" s="23">
        <v>58</v>
      </c>
      <c r="W92" s="28">
        <v>77</v>
      </c>
    </row>
    <row r="93" spans="1:23" x14ac:dyDescent="0.25">
      <c r="A93" s="20">
        <v>10</v>
      </c>
      <c r="B93" s="27">
        <v>44995</v>
      </c>
      <c r="C93" s="23">
        <v>250</v>
      </c>
      <c r="D93" s="23">
        <v>0</v>
      </c>
      <c r="E93" s="23">
        <v>0</v>
      </c>
      <c r="F93" s="23">
        <v>0</v>
      </c>
      <c r="G93" s="23">
        <v>1</v>
      </c>
      <c r="H93" s="23">
        <v>0</v>
      </c>
      <c r="I93" s="23">
        <v>0</v>
      </c>
      <c r="J93" s="23">
        <v>0</v>
      </c>
      <c r="K93" s="23">
        <v>0</v>
      </c>
      <c r="L93" s="23">
        <v>0</v>
      </c>
      <c r="M93" s="23">
        <v>0</v>
      </c>
      <c r="N93" s="23">
        <v>1</v>
      </c>
      <c r="O93" s="23">
        <v>2</v>
      </c>
      <c r="P93" s="23">
        <v>2</v>
      </c>
      <c r="Q93" s="23">
        <v>4</v>
      </c>
      <c r="R93" s="23">
        <v>11</v>
      </c>
      <c r="S93" s="23">
        <v>11</v>
      </c>
      <c r="T93" s="23">
        <v>28</v>
      </c>
      <c r="U93" s="23">
        <v>46</v>
      </c>
      <c r="V93" s="23">
        <v>66</v>
      </c>
      <c r="W93" s="28">
        <v>78</v>
      </c>
    </row>
    <row r="94" spans="1:23" x14ac:dyDescent="0.25">
      <c r="A94" s="20">
        <v>11</v>
      </c>
      <c r="B94" s="27">
        <v>45002</v>
      </c>
      <c r="C94" s="23">
        <v>275</v>
      </c>
      <c r="D94" s="23">
        <v>0</v>
      </c>
      <c r="E94" s="23">
        <v>0</v>
      </c>
      <c r="F94" s="23">
        <v>0</v>
      </c>
      <c r="G94" s="23">
        <v>0</v>
      </c>
      <c r="H94" s="23">
        <v>0</v>
      </c>
      <c r="I94" s="23">
        <v>0</v>
      </c>
      <c r="J94" s="23">
        <v>0</v>
      </c>
      <c r="K94" s="23">
        <v>0</v>
      </c>
      <c r="L94" s="23">
        <v>0</v>
      </c>
      <c r="M94" s="23">
        <v>0</v>
      </c>
      <c r="N94" s="23">
        <v>2</v>
      </c>
      <c r="O94" s="23">
        <v>1</v>
      </c>
      <c r="P94" s="23">
        <v>6</v>
      </c>
      <c r="Q94" s="23">
        <v>3</v>
      </c>
      <c r="R94" s="23">
        <v>13</v>
      </c>
      <c r="S94" s="23">
        <v>19</v>
      </c>
      <c r="T94" s="23">
        <v>38</v>
      </c>
      <c r="U94" s="23">
        <v>51</v>
      </c>
      <c r="V94" s="23">
        <v>62</v>
      </c>
      <c r="W94" s="28">
        <v>80</v>
      </c>
    </row>
    <row r="95" spans="1:23" x14ac:dyDescent="0.25">
      <c r="A95" s="20">
        <v>12</v>
      </c>
      <c r="B95" s="27">
        <v>45009</v>
      </c>
      <c r="C95" s="23">
        <v>321</v>
      </c>
      <c r="D95" s="23">
        <v>0</v>
      </c>
      <c r="E95" s="23">
        <v>0</v>
      </c>
      <c r="F95" s="23">
        <v>0</v>
      </c>
      <c r="G95" s="23">
        <v>0</v>
      </c>
      <c r="H95" s="23">
        <v>0</v>
      </c>
      <c r="I95" s="23">
        <v>0</v>
      </c>
      <c r="J95" s="23">
        <v>0</v>
      </c>
      <c r="K95" s="23">
        <v>0</v>
      </c>
      <c r="L95" s="23">
        <v>1</v>
      </c>
      <c r="M95" s="23">
        <v>2</v>
      </c>
      <c r="N95" s="23">
        <v>4</v>
      </c>
      <c r="O95" s="23">
        <v>3</v>
      </c>
      <c r="P95" s="23">
        <v>7</v>
      </c>
      <c r="Q95" s="23">
        <v>8</v>
      </c>
      <c r="R95" s="23">
        <v>13</v>
      </c>
      <c r="S95" s="23">
        <v>27</v>
      </c>
      <c r="T95" s="23">
        <v>30</v>
      </c>
      <c r="U95" s="23">
        <v>56</v>
      </c>
      <c r="V95" s="23">
        <v>70</v>
      </c>
      <c r="W95" s="28">
        <v>100</v>
      </c>
    </row>
    <row r="96" spans="1:23" x14ac:dyDescent="0.25">
      <c r="A96" s="20">
        <v>13</v>
      </c>
      <c r="B96" s="27">
        <v>45016</v>
      </c>
      <c r="C96" s="23">
        <v>318</v>
      </c>
      <c r="D96" s="23">
        <v>0</v>
      </c>
      <c r="E96" s="23">
        <v>0</v>
      </c>
      <c r="F96" s="23">
        <v>0</v>
      </c>
      <c r="G96" s="23">
        <v>0</v>
      </c>
      <c r="H96" s="23">
        <v>0</v>
      </c>
      <c r="I96" s="23">
        <v>0</v>
      </c>
      <c r="J96" s="23">
        <v>0</v>
      </c>
      <c r="K96" s="23">
        <v>0</v>
      </c>
      <c r="L96" s="23">
        <v>0</v>
      </c>
      <c r="M96" s="23">
        <v>0</v>
      </c>
      <c r="N96" s="23">
        <v>3</v>
      </c>
      <c r="O96" s="23">
        <v>5</v>
      </c>
      <c r="P96" s="23">
        <v>4</v>
      </c>
      <c r="Q96" s="23">
        <v>11</v>
      </c>
      <c r="R96" s="23">
        <v>11</v>
      </c>
      <c r="S96" s="23">
        <v>20</v>
      </c>
      <c r="T96" s="23">
        <v>39</v>
      </c>
      <c r="U96" s="23">
        <v>50</v>
      </c>
      <c r="V96" s="23">
        <v>78</v>
      </c>
      <c r="W96" s="28">
        <v>97</v>
      </c>
    </row>
    <row r="97" spans="1:23" x14ac:dyDescent="0.25">
      <c r="A97" s="20">
        <v>14</v>
      </c>
      <c r="B97" s="27">
        <v>45023</v>
      </c>
      <c r="C97" s="23">
        <v>252</v>
      </c>
      <c r="D97" s="23">
        <v>0</v>
      </c>
      <c r="E97" s="23">
        <v>0</v>
      </c>
      <c r="F97" s="23">
        <v>0</v>
      </c>
      <c r="G97" s="23">
        <v>0</v>
      </c>
      <c r="H97" s="23">
        <v>0</v>
      </c>
      <c r="I97" s="23">
        <v>0</v>
      </c>
      <c r="J97" s="23">
        <v>0</v>
      </c>
      <c r="K97" s="23">
        <v>0</v>
      </c>
      <c r="L97" s="23">
        <v>0</v>
      </c>
      <c r="M97" s="23">
        <v>1</v>
      </c>
      <c r="N97" s="23">
        <v>1</v>
      </c>
      <c r="O97" s="23">
        <v>1</v>
      </c>
      <c r="P97" s="23">
        <v>2</v>
      </c>
      <c r="Q97" s="23">
        <v>8</v>
      </c>
      <c r="R97" s="23">
        <v>6</v>
      </c>
      <c r="S97" s="23">
        <v>18</v>
      </c>
      <c r="T97" s="23">
        <v>33</v>
      </c>
      <c r="U97" s="23">
        <v>43</v>
      </c>
      <c r="V97" s="23">
        <v>54</v>
      </c>
      <c r="W97" s="28">
        <v>85</v>
      </c>
    </row>
    <row r="98" spans="1:23" x14ac:dyDescent="0.25">
      <c r="A98" s="20">
        <v>15</v>
      </c>
      <c r="B98" s="27">
        <v>45030</v>
      </c>
      <c r="C98" s="23">
        <v>205</v>
      </c>
      <c r="D98" s="23">
        <v>0</v>
      </c>
      <c r="E98" s="23">
        <v>0</v>
      </c>
      <c r="F98" s="23">
        <v>0</v>
      </c>
      <c r="G98" s="23">
        <v>0</v>
      </c>
      <c r="H98" s="23">
        <v>0</v>
      </c>
      <c r="I98" s="23">
        <v>0</v>
      </c>
      <c r="J98" s="23">
        <v>0</v>
      </c>
      <c r="K98" s="23">
        <v>0</v>
      </c>
      <c r="L98" s="23">
        <v>0</v>
      </c>
      <c r="M98" s="23">
        <v>0</v>
      </c>
      <c r="N98" s="23">
        <v>1</v>
      </c>
      <c r="O98" s="23">
        <v>0</v>
      </c>
      <c r="P98" s="23">
        <v>5</v>
      </c>
      <c r="Q98" s="23">
        <v>4</v>
      </c>
      <c r="R98" s="23">
        <v>7</v>
      </c>
      <c r="S98" s="23">
        <v>19</v>
      </c>
      <c r="T98" s="23">
        <v>30</v>
      </c>
      <c r="U98" s="23">
        <v>36</v>
      </c>
      <c r="V98" s="23">
        <v>36</v>
      </c>
      <c r="W98" s="28">
        <v>67</v>
      </c>
    </row>
    <row r="99" spans="1:23" x14ac:dyDescent="0.25">
      <c r="A99" s="20">
        <v>16</v>
      </c>
      <c r="B99" s="27">
        <v>45037</v>
      </c>
      <c r="C99" s="23">
        <v>234</v>
      </c>
      <c r="D99" s="23">
        <v>0</v>
      </c>
      <c r="E99" s="23">
        <v>0</v>
      </c>
      <c r="F99" s="23">
        <v>0</v>
      </c>
      <c r="G99" s="23">
        <v>0</v>
      </c>
      <c r="H99" s="23">
        <v>0</v>
      </c>
      <c r="I99" s="23">
        <v>0</v>
      </c>
      <c r="J99" s="23">
        <v>1</v>
      </c>
      <c r="K99" s="23">
        <v>0</v>
      </c>
      <c r="L99" s="23">
        <v>1</v>
      </c>
      <c r="M99" s="23">
        <v>2</v>
      </c>
      <c r="N99" s="23">
        <v>1</v>
      </c>
      <c r="O99" s="23">
        <v>4</v>
      </c>
      <c r="P99" s="23">
        <v>4</v>
      </c>
      <c r="Q99" s="23">
        <v>10</v>
      </c>
      <c r="R99" s="23">
        <v>13</v>
      </c>
      <c r="S99" s="23">
        <v>18</v>
      </c>
      <c r="T99" s="23">
        <v>31</v>
      </c>
      <c r="U99" s="23">
        <v>36</v>
      </c>
      <c r="V99" s="23">
        <v>43</v>
      </c>
      <c r="W99" s="28">
        <v>70</v>
      </c>
    </row>
    <row r="100" spans="1:23" x14ac:dyDescent="0.25">
      <c r="A100" s="20">
        <v>17</v>
      </c>
      <c r="B100" s="27">
        <v>45044</v>
      </c>
      <c r="C100" s="23">
        <v>225</v>
      </c>
      <c r="D100" s="23">
        <v>0</v>
      </c>
      <c r="E100" s="23">
        <v>0</v>
      </c>
      <c r="F100" s="23">
        <v>0</v>
      </c>
      <c r="G100" s="23">
        <v>0</v>
      </c>
      <c r="H100" s="23">
        <v>1</v>
      </c>
      <c r="I100" s="23">
        <v>1</v>
      </c>
      <c r="J100" s="23">
        <v>0</v>
      </c>
      <c r="K100" s="23">
        <v>1</v>
      </c>
      <c r="L100" s="23">
        <v>0</v>
      </c>
      <c r="M100" s="23">
        <v>0</v>
      </c>
      <c r="N100" s="23">
        <v>2</v>
      </c>
      <c r="O100" s="23">
        <v>2</v>
      </c>
      <c r="P100" s="23">
        <v>3</v>
      </c>
      <c r="Q100" s="23">
        <v>5</v>
      </c>
      <c r="R100" s="23">
        <v>8</v>
      </c>
      <c r="S100" s="23">
        <v>16</v>
      </c>
      <c r="T100" s="23">
        <v>29</v>
      </c>
      <c r="U100" s="23">
        <v>39</v>
      </c>
      <c r="V100" s="23">
        <v>49</v>
      </c>
      <c r="W100" s="28">
        <v>69</v>
      </c>
    </row>
    <row r="101" spans="1:23" x14ac:dyDescent="0.25">
      <c r="A101" s="20">
        <v>18</v>
      </c>
      <c r="B101" s="27">
        <v>45051</v>
      </c>
      <c r="C101" s="23">
        <v>140</v>
      </c>
      <c r="D101" s="23">
        <v>1</v>
      </c>
      <c r="E101" s="23">
        <v>0</v>
      </c>
      <c r="F101" s="23">
        <v>0</v>
      </c>
      <c r="G101" s="23">
        <v>0</v>
      </c>
      <c r="H101" s="23">
        <v>0</v>
      </c>
      <c r="I101" s="23">
        <v>0</v>
      </c>
      <c r="J101" s="23">
        <v>0</v>
      </c>
      <c r="K101" s="23">
        <v>0</v>
      </c>
      <c r="L101" s="23">
        <v>0</v>
      </c>
      <c r="M101" s="23">
        <v>2</v>
      </c>
      <c r="N101" s="23">
        <v>1</v>
      </c>
      <c r="O101" s="23">
        <v>0</v>
      </c>
      <c r="P101" s="23">
        <v>4</v>
      </c>
      <c r="Q101" s="23">
        <v>6</v>
      </c>
      <c r="R101" s="23">
        <v>6</v>
      </c>
      <c r="S101" s="23">
        <v>7</v>
      </c>
      <c r="T101" s="23">
        <v>18</v>
      </c>
      <c r="U101" s="23">
        <v>20</v>
      </c>
      <c r="V101" s="23">
        <v>36</v>
      </c>
      <c r="W101" s="28">
        <v>39</v>
      </c>
    </row>
    <row r="102" spans="1:23" x14ac:dyDescent="0.25">
      <c r="A102" s="20">
        <v>19</v>
      </c>
      <c r="B102" s="27">
        <v>45058</v>
      </c>
      <c r="C102" s="23">
        <v>132</v>
      </c>
      <c r="D102" s="23">
        <v>0</v>
      </c>
      <c r="E102" s="23">
        <v>0</v>
      </c>
      <c r="F102" s="23">
        <v>0</v>
      </c>
      <c r="G102" s="23">
        <v>0</v>
      </c>
      <c r="H102" s="23">
        <v>0</v>
      </c>
      <c r="I102" s="23">
        <v>0</v>
      </c>
      <c r="J102" s="23">
        <v>0</v>
      </c>
      <c r="K102" s="23">
        <v>0</v>
      </c>
      <c r="L102" s="23">
        <v>0</v>
      </c>
      <c r="M102" s="23">
        <v>1</v>
      </c>
      <c r="N102" s="23">
        <v>0</v>
      </c>
      <c r="O102" s="23">
        <v>1</v>
      </c>
      <c r="P102" s="23">
        <v>2</v>
      </c>
      <c r="Q102" s="23">
        <v>2</v>
      </c>
      <c r="R102" s="23">
        <v>5</v>
      </c>
      <c r="S102" s="23">
        <v>12</v>
      </c>
      <c r="T102" s="23">
        <v>17</v>
      </c>
      <c r="U102" s="23">
        <v>20</v>
      </c>
      <c r="V102" s="23">
        <v>24</v>
      </c>
      <c r="W102" s="28">
        <v>48</v>
      </c>
    </row>
    <row r="103" spans="1:23" x14ac:dyDescent="0.25">
      <c r="A103" s="20">
        <v>20</v>
      </c>
      <c r="B103" s="27">
        <v>45065</v>
      </c>
      <c r="C103" s="23">
        <v>148</v>
      </c>
      <c r="D103" s="23">
        <v>0</v>
      </c>
      <c r="E103" s="23">
        <v>0</v>
      </c>
      <c r="F103" s="23">
        <v>0</v>
      </c>
      <c r="G103" s="23">
        <v>0</v>
      </c>
      <c r="H103" s="23">
        <v>0</v>
      </c>
      <c r="I103" s="23">
        <v>0</v>
      </c>
      <c r="J103" s="23">
        <v>0</v>
      </c>
      <c r="K103" s="23">
        <v>0</v>
      </c>
      <c r="L103" s="23">
        <v>1</v>
      </c>
      <c r="M103" s="23">
        <v>0</v>
      </c>
      <c r="N103" s="23">
        <v>0</v>
      </c>
      <c r="O103" s="23">
        <v>1</v>
      </c>
      <c r="P103" s="23">
        <v>1</v>
      </c>
      <c r="Q103" s="23">
        <v>4</v>
      </c>
      <c r="R103" s="23">
        <v>6</v>
      </c>
      <c r="S103" s="23">
        <v>13</v>
      </c>
      <c r="T103" s="23">
        <v>16</v>
      </c>
      <c r="U103" s="23">
        <v>28</v>
      </c>
      <c r="V103" s="23">
        <v>37</v>
      </c>
      <c r="W103" s="28">
        <v>41</v>
      </c>
    </row>
    <row r="104" spans="1:23" x14ac:dyDescent="0.25">
      <c r="A104" s="20">
        <v>21</v>
      </c>
      <c r="B104" s="27">
        <v>45072</v>
      </c>
      <c r="C104" s="23">
        <v>103</v>
      </c>
      <c r="D104" s="23">
        <v>0</v>
      </c>
      <c r="E104" s="23">
        <v>0</v>
      </c>
      <c r="F104" s="23">
        <v>0</v>
      </c>
      <c r="G104" s="23">
        <v>0</v>
      </c>
      <c r="H104" s="23">
        <v>0</v>
      </c>
      <c r="I104" s="23">
        <v>0</v>
      </c>
      <c r="J104" s="23">
        <v>0</v>
      </c>
      <c r="K104" s="23">
        <v>0</v>
      </c>
      <c r="L104" s="23">
        <v>0</v>
      </c>
      <c r="M104" s="23">
        <v>0</v>
      </c>
      <c r="N104" s="23">
        <v>0</v>
      </c>
      <c r="O104" s="23">
        <v>1</v>
      </c>
      <c r="P104" s="23">
        <v>3</v>
      </c>
      <c r="Q104" s="23">
        <v>3</v>
      </c>
      <c r="R104" s="23">
        <v>4</v>
      </c>
      <c r="S104" s="23">
        <v>14</v>
      </c>
      <c r="T104" s="23">
        <v>11</v>
      </c>
      <c r="U104" s="23">
        <v>20</v>
      </c>
      <c r="V104" s="23">
        <v>16</v>
      </c>
      <c r="W104" s="28">
        <v>31</v>
      </c>
    </row>
    <row r="105" spans="1:23" x14ac:dyDescent="0.25">
      <c r="A105" s="20">
        <v>22</v>
      </c>
      <c r="B105" s="27">
        <v>45079</v>
      </c>
      <c r="C105" s="23">
        <v>80</v>
      </c>
      <c r="D105" s="23">
        <v>0</v>
      </c>
      <c r="E105" s="23">
        <v>0</v>
      </c>
      <c r="F105" s="23">
        <v>0</v>
      </c>
      <c r="G105" s="23">
        <v>1</v>
      </c>
      <c r="H105" s="23">
        <v>0</v>
      </c>
      <c r="I105" s="23">
        <v>0</v>
      </c>
      <c r="J105" s="23">
        <v>0</v>
      </c>
      <c r="K105" s="23">
        <v>0</v>
      </c>
      <c r="L105" s="23">
        <v>0</v>
      </c>
      <c r="M105" s="23">
        <v>0</v>
      </c>
      <c r="N105" s="23">
        <v>1</v>
      </c>
      <c r="O105" s="23">
        <v>0</v>
      </c>
      <c r="P105" s="23">
        <v>1</v>
      </c>
      <c r="Q105" s="23">
        <v>1</v>
      </c>
      <c r="R105" s="23">
        <v>3</v>
      </c>
      <c r="S105" s="23">
        <v>5</v>
      </c>
      <c r="T105" s="23">
        <v>18</v>
      </c>
      <c r="U105" s="23">
        <v>18</v>
      </c>
      <c r="V105" s="23">
        <v>13</v>
      </c>
      <c r="W105" s="28">
        <v>19</v>
      </c>
    </row>
    <row r="106" spans="1:23" x14ac:dyDescent="0.25">
      <c r="A106" s="20">
        <v>23</v>
      </c>
      <c r="B106" s="27">
        <v>45086</v>
      </c>
      <c r="C106" s="23">
        <v>88</v>
      </c>
      <c r="D106" s="23">
        <v>0</v>
      </c>
      <c r="E106" s="23">
        <v>0</v>
      </c>
      <c r="F106" s="23">
        <v>0</v>
      </c>
      <c r="G106" s="23">
        <v>0</v>
      </c>
      <c r="H106" s="23">
        <v>0</v>
      </c>
      <c r="I106" s="23">
        <v>0</v>
      </c>
      <c r="J106" s="23">
        <v>0</v>
      </c>
      <c r="K106" s="23">
        <v>0</v>
      </c>
      <c r="L106" s="23">
        <v>0</v>
      </c>
      <c r="M106" s="23">
        <v>0</v>
      </c>
      <c r="N106" s="23">
        <v>0</v>
      </c>
      <c r="O106" s="23">
        <v>4</v>
      </c>
      <c r="P106" s="23">
        <v>0</v>
      </c>
      <c r="Q106" s="23">
        <v>1</v>
      </c>
      <c r="R106" s="23">
        <v>2</v>
      </c>
      <c r="S106" s="23">
        <v>6</v>
      </c>
      <c r="T106" s="23">
        <v>11</v>
      </c>
      <c r="U106" s="23">
        <v>20</v>
      </c>
      <c r="V106" s="23">
        <v>23</v>
      </c>
      <c r="W106" s="28">
        <v>21</v>
      </c>
    </row>
    <row r="107" spans="1:23" x14ac:dyDescent="0.25">
      <c r="A107" s="20">
        <v>24</v>
      </c>
      <c r="B107" s="27">
        <v>45093</v>
      </c>
      <c r="C107" s="23">
        <v>62</v>
      </c>
      <c r="D107" s="23">
        <v>1</v>
      </c>
      <c r="E107" s="23">
        <v>0</v>
      </c>
      <c r="F107" s="23">
        <v>0</v>
      </c>
      <c r="G107" s="23">
        <v>0</v>
      </c>
      <c r="H107" s="23">
        <v>0</v>
      </c>
      <c r="I107" s="23">
        <v>2</v>
      </c>
      <c r="J107" s="23">
        <v>0</v>
      </c>
      <c r="K107" s="23">
        <v>0</v>
      </c>
      <c r="L107" s="23">
        <v>0</v>
      </c>
      <c r="M107" s="23">
        <v>0</v>
      </c>
      <c r="N107" s="23">
        <v>0</v>
      </c>
      <c r="O107" s="23">
        <v>0</v>
      </c>
      <c r="P107" s="23">
        <v>1</v>
      </c>
      <c r="Q107" s="23">
        <v>1</v>
      </c>
      <c r="R107" s="23">
        <v>5</v>
      </c>
      <c r="S107" s="23">
        <v>3</v>
      </c>
      <c r="T107" s="23">
        <v>10</v>
      </c>
      <c r="U107" s="23">
        <v>10</v>
      </c>
      <c r="V107" s="23">
        <v>9</v>
      </c>
      <c r="W107" s="28">
        <v>20</v>
      </c>
    </row>
    <row r="108" spans="1:23" x14ac:dyDescent="0.25">
      <c r="A108" s="20">
        <v>25</v>
      </c>
      <c r="B108" s="27">
        <v>45100</v>
      </c>
      <c r="C108" s="23">
        <v>71</v>
      </c>
      <c r="D108" s="23">
        <v>0</v>
      </c>
      <c r="E108" s="23">
        <v>0</v>
      </c>
      <c r="F108" s="23">
        <v>0</v>
      </c>
      <c r="G108" s="23">
        <v>0</v>
      </c>
      <c r="H108" s="23">
        <v>0</v>
      </c>
      <c r="I108" s="23">
        <v>0</v>
      </c>
      <c r="J108" s="23">
        <v>0</v>
      </c>
      <c r="K108" s="23">
        <v>0</v>
      </c>
      <c r="L108" s="23">
        <v>0</v>
      </c>
      <c r="M108" s="23">
        <v>0</v>
      </c>
      <c r="N108" s="23">
        <v>0</v>
      </c>
      <c r="O108" s="23">
        <v>0</v>
      </c>
      <c r="P108" s="23">
        <v>2</v>
      </c>
      <c r="Q108" s="23">
        <v>2</v>
      </c>
      <c r="R108" s="23">
        <v>5</v>
      </c>
      <c r="S108" s="23">
        <v>8</v>
      </c>
      <c r="T108" s="23">
        <v>12</v>
      </c>
      <c r="U108" s="23">
        <v>10</v>
      </c>
      <c r="V108" s="23">
        <v>8</v>
      </c>
      <c r="W108" s="28">
        <v>24</v>
      </c>
    </row>
    <row r="109" spans="1:23" x14ac:dyDescent="0.25">
      <c r="A109" s="20">
        <v>26</v>
      </c>
      <c r="B109" s="27">
        <v>45107</v>
      </c>
      <c r="C109" s="23">
        <v>60</v>
      </c>
      <c r="D109" s="23">
        <v>0</v>
      </c>
      <c r="E109" s="23">
        <v>0</v>
      </c>
      <c r="F109" s="23">
        <v>0</v>
      </c>
      <c r="G109" s="23">
        <v>0</v>
      </c>
      <c r="H109" s="23">
        <v>0</v>
      </c>
      <c r="I109" s="23">
        <v>0</v>
      </c>
      <c r="J109" s="23">
        <v>0</v>
      </c>
      <c r="K109" s="23">
        <v>0</v>
      </c>
      <c r="L109" s="23">
        <v>0</v>
      </c>
      <c r="M109" s="23">
        <v>0</v>
      </c>
      <c r="N109" s="23">
        <v>0</v>
      </c>
      <c r="O109" s="23">
        <v>0</v>
      </c>
      <c r="P109" s="23">
        <v>2</v>
      </c>
      <c r="Q109" s="23">
        <v>4</v>
      </c>
      <c r="R109" s="23">
        <v>3</v>
      </c>
      <c r="S109" s="23">
        <v>3</v>
      </c>
      <c r="T109" s="23">
        <v>5</v>
      </c>
      <c r="U109" s="23">
        <v>10</v>
      </c>
      <c r="V109" s="23">
        <v>14</v>
      </c>
      <c r="W109" s="28">
        <v>19</v>
      </c>
    </row>
    <row r="110" spans="1:23" x14ac:dyDescent="0.25">
      <c r="A110" s="20">
        <v>27</v>
      </c>
      <c r="B110" s="27">
        <v>45114</v>
      </c>
      <c r="C110" s="23">
        <v>43</v>
      </c>
      <c r="D110" s="23">
        <v>0</v>
      </c>
      <c r="E110" s="23">
        <v>0</v>
      </c>
      <c r="F110" s="23">
        <v>0</v>
      </c>
      <c r="G110" s="23">
        <v>0</v>
      </c>
      <c r="H110" s="23">
        <v>0</v>
      </c>
      <c r="I110" s="23">
        <v>0</v>
      </c>
      <c r="J110" s="23">
        <v>0</v>
      </c>
      <c r="K110" s="23">
        <v>1</v>
      </c>
      <c r="L110" s="23">
        <v>0</v>
      </c>
      <c r="M110" s="23">
        <v>0</v>
      </c>
      <c r="N110" s="23">
        <v>1</v>
      </c>
      <c r="O110" s="23">
        <v>0</v>
      </c>
      <c r="P110" s="23">
        <v>0</v>
      </c>
      <c r="Q110" s="23">
        <v>1</v>
      </c>
      <c r="R110" s="23">
        <v>2</v>
      </c>
      <c r="S110" s="23">
        <v>5</v>
      </c>
      <c r="T110" s="23">
        <v>8</v>
      </c>
      <c r="U110" s="23">
        <v>7</v>
      </c>
      <c r="V110" s="23">
        <v>9</v>
      </c>
      <c r="W110" s="28">
        <v>9</v>
      </c>
    </row>
    <row r="111" spans="1:23" x14ac:dyDescent="0.25">
      <c r="A111" s="20">
        <v>28</v>
      </c>
      <c r="B111" s="27">
        <v>45121</v>
      </c>
      <c r="C111" s="23">
        <v>29</v>
      </c>
      <c r="D111" s="23">
        <v>0</v>
      </c>
      <c r="E111" s="23">
        <v>0</v>
      </c>
      <c r="F111" s="23">
        <v>0</v>
      </c>
      <c r="G111" s="23">
        <v>0</v>
      </c>
      <c r="H111" s="23">
        <v>0</v>
      </c>
      <c r="I111" s="23">
        <v>0</v>
      </c>
      <c r="J111" s="23">
        <v>0</v>
      </c>
      <c r="K111" s="23">
        <v>0</v>
      </c>
      <c r="L111" s="23">
        <v>0</v>
      </c>
      <c r="M111" s="23">
        <v>0</v>
      </c>
      <c r="N111" s="23">
        <v>1</v>
      </c>
      <c r="O111" s="23">
        <v>0</v>
      </c>
      <c r="P111" s="23">
        <v>1</v>
      </c>
      <c r="Q111" s="23">
        <v>0</v>
      </c>
      <c r="R111" s="23">
        <v>1</v>
      </c>
      <c r="S111" s="23">
        <v>0</v>
      </c>
      <c r="T111" s="23">
        <v>7</v>
      </c>
      <c r="U111" s="23">
        <v>5</v>
      </c>
      <c r="V111" s="23">
        <v>10</v>
      </c>
      <c r="W111" s="28">
        <v>4</v>
      </c>
    </row>
    <row r="112" spans="1:23" x14ac:dyDescent="0.25">
      <c r="A112" s="20">
        <v>29</v>
      </c>
      <c r="B112" s="27">
        <v>45128</v>
      </c>
      <c r="C112" s="23">
        <v>33</v>
      </c>
      <c r="D112" s="23">
        <v>0</v>
      </c>
      <c r="E112" s="23">
        <v>0</v>
      </c>
      <c r="F112" s="23">
        <v>0</v>
      </c>
      <c r="G112" s="23">
        <v>0</v>
      </c>
      <c r="H112" s="23">
        <v>0</v>
      </c>
      <c r="I112" s="23">
        <v>0</v>
      </c>
      <c r="J112" s="23">
        <v>0</v>
      </c>
      <c r="K112" s="23">
        <v>0</v>
      </c>
      <c r="L112" s="23">
        <v>0</v>
      </c>
      <c r="M112" s="23">
        <v>1</v>
      </c>
      <c r="N112" s="23">
        <v>0</v>
      </c>
      <c r="O112" s="23">
        <v>0</v>
      </c>
      <c r="P112" s="23">
        <v>0</v>
      </c>
      <c r="Q112" s="23">
        <v>2</v>
      </c>
      <c r="R112" s="23">
        <v>3</v>
      </c>
      <c r="S112" s="23">
        <v>3</v>
      </c>
      <c r="T112" s="23">
        <v>4</v>
      </c>
      <c r="U112" s="23">
        <v>7</v>
      </c>
      <c r="V112" s="23">
        <v>6</v>
      </c>
      <c r="W112" s="28">
        <v>7</v>
      </c>
    </row>
    <row r="113" spans="1:23" x14ac:dyDescent="0.25">
      <c r="A113" s="20">
        <v>30</v>
      </c>
      <c r="B113" s="27">
        <v>45135</v>
      </c>
      <c r="C113" s="23">
        <v>25</v>
      </c>
      <c r="D113" s="23">
        <v>0</v>
      </c>
      <c r="E113" s="23">
        <v>0</v>
      </c>
      <c r="F113" s="23">
        <v>0</v>
      </c>
      <c r="G113" s="23">
        <v>0</v>
      </c>
      <c r="H113" s="23">
        <v>0</v>
      </c>
      <c r="I113" s="23">
        <v>0</v>
      </c>
      <c r="J113" s="23">
        <v>0</v>
      </c>
      <c r="K113" s="23">
        <v>0</v>
      </c>
      <c r="L113" s="23">
        <v>0</v>
      </c>
      <c r="M113" s="23">
        <v>0</v>
      </c>
      <c r="N113" s="23">
        <v>0</v>
      </c>
      <c r="O113" s="23">
        <v>3</v>
      </c>
      <c r="P113" s="23">
        <v>2</v>
      </c>
      <c r="Q113" s="23">
        <v>1</v>
      </c>
      <c r="R113" s="23">
        <v>1</v>
      </c>
      <c r="S113" s="23">
        <v>2</v>
      </c>
      <c r="T113" s="23">
        <v>4</v>
      </c>
      <c r="U113" s="23">
        <v>3</v>
      </c>
      <c r="V113" s="23">
        <v>4</v>
      </c>
      <c r="W113" s="28">
        <v>5</v>
      </c>
    </row>
    <row r="114" spans="1:23" x14ac:dyDescent="0.25">
      <c r="A114" s="20">
        <v>31</v>
      </c>
      <c r="B114" s="27">
        <v>45142</v>
      </c>
      <c r="C114" s="23">
        <v>29</v>
      </c>
      <c r="D114" s="23">
        <v>0</v>
      </c>
      <c r="E114" s="23">
        <v>0</v>
      </c>
      <c r="F114" s="23">
        <v>0</v>
      </c>
      <c r="G114" s="23">
        <v>0</v>
      </c>
      <c r="H114" s="23">
        <v>0</v>
      </c>
      <c r="I114" s="23">
        <v>0</v>
      </c>
      <c r="J114" s="23">
        <v>0</v>
      </c>
      <c r="K114" s="23">
        <v>0</v>
      </c>
      <c r="L114" s="23">
        <v>0</v>
      </c>
      <c r="M114" s="23">
        <v>0</v>
      </c>
      <c r="N114" s="23">
        <v>0</v>
      </c>
      <c r="O114" s="23">
        <v>0</v>
      </c>
      <c r="P114" s="23">
        <v>0</v>
      </c>
      <c r="Q114" s="23">
        <v>1</v>
      </c>
      <c r="R114" s="23">
        <v>2</v>
      </c>
      <c r="S114" s="23">
        <v>2</v>
      </c>
      <c r="T114" s="23">
        <v>4</v>
      </c>
      <c r="U114" s="23">
        <v>4</v>
      </c>
      <c r="V114" s="23">
        <v>9</v>
      </c>
      <c r="W114" s="28">
        <v>7</v>
      </c>
    </row>
    <row r="115" spans="1:23" x14ac:dyDescent="0.25">
      <c r="A115" s="20">
        <v>32</v>
      </c>
      <c r="B115" s="27">
        <v>45149</v>
      </c>
      <c r="C115" s="23">
        <v>33</v>
      </c>
      <c r="D115" s="23">
        <v>0</v>
      </c>
      <c r="E115" s="23">
        <v>0</v>
      </c>
      <c r="F115" s="23">
        <v>0</v>
      </c>
      <c r="G115" s="23">
        <v>0</v>
      </c>
      <c r="H115" s="23">
        <v>0</v>
      </c>
      <c r="I115" s="23">
        <v>0</v>
      </c>
      <c r="J115" s="23">
        <v>0</v>
      </c>
      <c r="K115" s="23">
        <v>0</v>
      </c>
      <c r="L115" s="23">
        <v>0</v>
      </c>
      <c r="M115" s="23">
        <v>0</v>
      </c>
      <c r="N115" s="23">
        <v>0</v>
      </c>
      <c r="O115" s="23">
        <v>2</v>
      </c>
      <c r="P115" s="23">
        <v>3</v>
      </c>
      <c r="Q115" s="23">
        <v>0</v>
      </c>
      <c r="R115" s="23">
        <v>2</v>
      </c>
      <c r="S115" s="23">
        <v>1</v>
      </c>
      <c r="T115" s="23">
        <v>7</v>
      </c>
      <c r="U115" s="23">
        <v>4</v>
      </c>
      <c r="V115" s="23">
        <v>4</v>
      </c>
      <c r="W115" s="28">
        <v>10</v>
      </c>
    </row>
    <row r="116" spans="1:23" x14ac:dyDescent="0.25">
      <c r="A116" s="20">
        <v>33</v>
      </c>
      <c r="B116" s="27">
        <v>45156</v>
      </c>
      <c r="C116" s="23">
        <v>49</v>
      </c>
      <c r="D116" s="23">
        <v>0</v>
      </c>
      <c r="E116" s="23">
        <v>0</v>
      </c>
      <c r="F116" s="23">
        <v>0</v>
      </c>
      <c r="G116" s="23">
        <v>0</v>
      </c>
      <c r="H116" s="23">
        <v>0</v>
      </c>
      <c r="I116" s="23">
        <v>0</v>
      </c>
      <c r="J116" s="23">
        <v>0</v>
      </c>
      <c r="K116" s="23">
        <v>0</v>
      </c>
      <c r="L116" s="23">
        <v>0</v>
      </c>
      <c r="M116" s="23">
        <v>0</v>
      </c>
      <c r="N116" s="23">
        <v>0</v>
      </c>
      <c r="O116" s="23">
        <v>2</v>
      </c>
      <c r="P116" s="23">
        <v>0</v>
      </c>
      <c r="Q116" s="23">
        <v>1</v>
      </c>
      <c r="R116" s="23">
        <v>1</v>
      </c>
      <c r="S116" s="23">
        <v>2</v>
      </c>
      <c r="T116" s="23">
        <v>6</v>
      </c>
      <c r="U116" s="23">
        <v>9</v>
      </c>
      <c r="V116" s="23">
        <v>9</v>
      </c>
      <c r="W116" s="28">
        <v>19</v>
      </c>
    </row>
    <row r="117" spans="1:23" x14ac:dyDescent="0.25">
      <c r="A117" s="20">
        <v>34</v>
      </c>
      <c r="B117" s="27">
        <v>45163</v>
      </c>
      <c r="C117" s="23">
        <v>72</v>
      </c>
      <c r="D117" s="23">
        <v>0</v>
      </c>
      <c r="E117" s="23">
        <v>0</v>
      </c>
      <c r="F117" s="23">
        <v>0</v>
      </c>
      <c r="G117" s="23">
        <v>0</v>
      </c>
      <c r="H117" s="23">
        <v>0</v>
      </c>
      <c r="I117" s="23">
        <v>0</v>
      </c>
      <c r="J117" s="23">
        <v>0</v>
      </c>
      <c r="K117" s="23">
        <v>0</v>
      </c>
      <c r="L117" s="23">
        <v>0</v>
      </c>
      <c r="M117" s="23">
        <v>0</v>
      </c>
      <c r="N117" s="23">
        <v>1</v>
      </c>
      <c r="O117" s="23">
        <v>0</v>
      </c>
      <c r="P117" s="23">
        <v>0</v>
      </c>
      <c r="Q117" s="23">
        <v>1</v>
      </c>
      <c r="R117" s="23">
        <v>2</v>
      </c>
      <c r="S117" s="23">
        <v>15</v>
      </c>
      <c r="T117" s="23">
        <v>9</v>
      </c>
      <c r="U117" s="23">
        <v>12</v>
      </c>
      <c r="V117" s="23">
        <v>15</v>
      </c>
      <c r="W117" s="28">
        <v>17</v>
      </c>
    </row>
    <row r="118" spans="1:23" x14ac:dyDescent="0.25">
      <c r="A118" s="20">
        <v>35</v>
      </c>
      <c r="B118" s="27">
        <v>45170</v>
      </c>
      <c r="C118" s="23">
        <v>59</v>
      </c>
      <c r="D118" s="23">
        <v>0</v>
      </c>
      <c r="E118" s="23">
        <v>0</v>
      </c>
      <c r="F118" s="23">
        <v>0</v>
      </c>
      <c r="G118" s="23">
        <v>0</v>
      </c>
      <c r="H118" s="23">
        <v>0</v>
      </c>
      <c r="I118" s="23">
        <v>0</v>
      </c>
      <c r="J118" s="23">
        <v>0</v>
      </c>
      <c r="K118" s="23">
        <v>0</v>
      </c>
      <c r="L118" s="23">
        <v>0</v>
      </c>
      <c r="M118" s="23">
        <v>0</v>
      </c>
      <c r="N118" s="23">
        <v>0</v>
      </c>
      <c r="O118" s="23">
        <v>0</v>
      </c>
      <c r="P118" s="23">
        <v>1</v>
      </c>
      <c r="Q118" s="23">
        <v>3</v>
      </c>
      <c r="R118" s="23">
        <v>3</v>
      </c>
      <c r="S118" s="23">
        <v>4</v>
      </c>
      <c r="T118" s="23">
        <v>10</v>
      </c>
      <c r="U118" s="23">
        <v>14</v>
      </c>
      <c r="V118" s="23">
        <v>7</v>
      </c>
      <c r="W118" s="28">
        <v>17</v>
      </c>
    </row>
    <row r="119" spans="1:23"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row>
  </sheetData>
  <sheetProtection sheet="1" formatCells="0" formatColumns="0"/>
  <pageMargins left="0.7" right="0.7" top="0.75" bottom="0.75" header="0.3" footer="0.3"/>
  <pageSetup paperSize="9" orientation="portrait" horizontalDpi="300" verticalDpi="300"/>
  <tableParts count="3">
    <tablePart r:id="rId1"/>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275"/>
  <sheetViews>
    <sheetView showGridLines="0" workbookViewId="0"/>
  </sheetViews>
  <sheetFormatPr defaultColWidth="10.90625" defaultRowHeight="15" x14ac:dyDescent="0.25"/>
  <cols>
    <col min="1" max="1" width="14.1796875" customWidth="1"/>
    <col min="2" max="2" width="13.1796875" customWidth="1"/>
    <col min="3" max="23" width="8.453125" customWidth="1"/>
  </cols>
  <sheetData>
    <row r="1" spans="1:23" ht="17.399999999999999" x14ac:dyDescent="0.3">
      <c r="A1" s="1" t="s">
        <v>168</v>
      </c>
    </row>
    <row r="2" spans="1:23" ht="17.399999999999999" x14ac:dyDescent="0.3">
      <c r="A2" s="1" t="s">
        <v>169</v>
      </c>
    </row>
    <row r="3" spans="1:23" x14ac:dyDescent="0.25">
      <c r="A3" t="s">
        <v>129</v>
      </c>
    </row>
    <row r="4" spans="1:23" x14ac:dyDescent="0.25">
      <c r="A4" t="s">
        <v>114</v>
      </c>
    </row>
    <row r="5" spans="1:23" x14ac:dyDescent="0.25">
      <c r="A5" t="s">
        <v>115</v>
      </c>
    </row>
    <row r="6" spans="1:23" ht="15.6" x14ac:dyDescent="0.3">
      <c r="A6" s="3" t="s">
        <v>170</v>
      </c>
    </row>
    <row r="7" spans="1:23" ht="15.6" x14ac:dyDescent="0.25">
      <c r="A7" s="12" t="s">
        <v>116</v>
      </c>
      <c r="B7" s="29" t="s">
        <v>131</v>
      </c>
      <c r="C7" s="21" t="s">
        <v>132</v>
      </c>
      <c r="D7" s="21" t="s">
        <v>133</v>
      </c>
      <c r="E7" s="21" t="s">
        <v>134</v>
      </c>
      <c r="F7" s="21" t="s">
        <v>135</v>
      </c>
      <c r="G7" s="21" t="s">
        <v>136</v>
      </c>
      <c r="H7" s="21" t="s">
        <v>137</v>
      </c>
      <c r="I7" s="21" t="s">
        <v>138</v>
      </c>
      <c r="J7" s="21" t="s">
        <v>139</v>
      </c>
      <c r="K7" s="21" t="s">
        <v>140</v>
      </c>
      <c r="L7" s="21" t="s">
        <v>141</v>
      </c>
      <c r="M7" s="21" t="s">
        <v>142</v>
      </c>
      <c r="N7" s="21" t="s">
        <v>143</v>
      </c>
      <c r="O7" s="21" t="s">
        <v>144</v>
      </c>
      <c r="P7" s="21" t="s">
        <v>145</v>
      </c>
      <c r="Q7" s="21" t="s">
        <v>146</v>
      </c>
      <c r="R7" s="21" t="s">
        <v>147</v>
      </c>
      <c r="S7" s="21" t="s">
        <v>148</v>
      </c>
      <c r="T7" s="21" t="s">
        <v>149</v>
      </c>
      <c r="U7" s="21" t="s">
        <v>150</v>
      </c>
      <c r="V7" s="21" t="s">
        <v>151</v>
      </c>
      <c r="W7" s="24" t="s">
        <v>152</v>
      </c>
    </row>
    <row r="8" spans="1:23" x14ac:dyDescent="0.25">
      <c r="A8" s="19">
        <v>1</v>
      </c>
      <c r="B8" s="25">
        <v>44568</v>
      </c>
      <c r="C8" s="22">
        <v>1233</v>
      </c>
      <c r="D8" s="22">
        <v>0</v>
      </c>
      <c r="E8" s="22">
        <v>1</v>
      </c>
      <c r="F8" s="22">
        <v>1</v>
      </c>
      <c r="G8" s="22">
        <v>0</v>
      </c>
      <c r="H8" s="22">
        <v>0</v>
      </c>
      <c r="I8" s="22">
        <v>4</v>
      </c>
      <c r="J8" s="22">
        <v>3</v>
      </c>
      <c r="K8" s="22">
        <v>7</v>
      </c>
      <c r="L8" s="22">
        <v>15</v>
      </c>
      <c r="M8" s="22">
        <v>16</v>
      </c>
      <c r="N8" s="22">
        <v>20</v>
      </c>
      <c r="O8" s="22">
        <v>36</v>
      </c>
      <c r="P8" s="22">
        <v>42</v>
      </c>
      <c r="Q8" s="22">
        <v>78</v>
      </c>
      <c r="R8" s="22">
        <v>90</v>
      </c>
      <c r="S8" s="22">
        <v>135</v>
      </c>
      <c r="T8" s="22">
        <v>168</v>
      </c>
      <c r="U8" s="22">
        <v>194</v>
      </c>
      <c r="V8" s="22">
        <v>192</v>
      </c>
      <c r="W8" s="26">
        <v>231</v>
      </c>
    </row>
    <row r="9" spans="1:23" x14ac:dyDescent="0.25">
      <c r="A9" s="20">
        <v>2</v>
      </c>
      <c r="B9" s="27">
        <v>44575</v>
      </c>
      <c r="C9" s="23">
        <v>1471</v>
      </c>
      <c r="D9" s="23">
        <v>3</v>
      </c>
      <c r="E9" s="23">
        <v>0</v>
      </c>
      <c r="F9" s="23">
        <v>0</v>
      </c>
      <c r="G9" s="23">
        <v>1</v>
      </c>
      <c r="H9" s="23">
        <v>2</v>
      </c>
      <c r="I9" s="23">
        <v>2</v>
      </c>
      <c r="J9" s="23">
        <v>2</v>
      </c>
      <c r="K9" s="23">
        <v>5</v>
      </c>
      <c r="L9" s="23">
        <v>14</v>
      </c>
      <c r="M9" s="23">
        <v>9</v>
      </c>
      <c r="N9" s="23">
        <v>17</v>
      </c>
      <c r="O9" s="23">
        <v>41</v>
      </c>
      <c r="P9" s="23">
        <v>41</v>
      </c>
      <c r="Q9" s="23">
        <v>73</v>
      </c>
      <c r="R9" s="23">
        <v>108</v>
      </c>
      <c r="S9" s="23">
        <v>118</v>
      </c>
      <c r="T9" s="23">
        <v>198</v>
      </c>
      <c r="U9" s="23">
        <v>203</v>
      </c>
      <c r="V9" s="23">
        <v>294</v>
      </c>
      <c r="W9" s="28">
        <v>340</v>
      </c>
    </row>
    <row r="10" spans="1:23" x14ac:dyDescent="0.25">
      <c r="A10" s="20">
        <v>3</v>
      </c>
      <c r="B10" s="27">
        <v>44582</v>
      </c>
      <c r="C10" s="23">
        <v>1479</v>
      </c>
      <c r="D10" s="23">
        <v>0</v>
      </c>
      <c r="E10" s="23">
        <v>0</v>
      </c>
      <c r="F10" s="23">
        <v>0</v>
      </c>
      <c r="G10" s="23">
        <v>1</v>
      </c>
      <c r="H10" s="23">
        <v>3</v>
      </c>
      <c r="I10" s="23">
        <v>1</v>
      </c>
      <c r="J10" s="23">
        <v>2</v>
      </c>
      <c r="K10" s="23">
        <v>6</v>
      </c>
      <c r="L10" s="23">
        <v>5</v>
      </c>
      <c r="M10" s="23">
        <v>12</v>
      </c>
      <c r="N10" s="23">
        <v>12</v>
      </c>
      <c r="O10" s="23">
        <v>30</v>
      </c>
      <c r="P10" s="23">
        <v>39</v>
      </c>
      <c r="Q10" s="23">
        <v>61</v>
      </c>
      <c r="R10" s="23">
        <v>84</v>
      </c>
      <c r="S10" s="23">
        <v>143</v>
      </c>
      <c r="T10" s="23">
        <v>171</v>
      </c>
      <c r="U10" s="23">
        <v>250</v>
      </c>
      <c r="V10" s="23">
        <v>286</v>
      </c>
      <c r="W10" s="28">
        <v>373</v>
      </c>
    </row>
    <row r="11" spans="1:23" x14ac:dyDescent="0.25">
      <c r="A11" s="20">
        <v>4</v>
      </c>
      <c r="B11" s="27">
        <v>44589</v>
      </c>
      <c r="C11" s="23">
        <v>1318</v>
      </c>
      <c r="D11" s="23">
        <v>0</v>
      </c>
      <c r="E11" s="23">
        <v>0</v>
      </c>
      <c r="F11" s="23">
        <v>0</v>
      </c>
      <c r="G11" s="23">
        <v>0</v>
      </c>
      <c r="H11" s="23">
        <v>1</v>
      </c>
      <c r="I11" s="23">
        <v>2</v>
      </c>
      <c r="J11" s="23">
        <v>2</v>
      </c>
      <c r="K11" s="23">
        <v>3</v>
      </c>
      <c r="L11" s="23">
        <v>2</v>
      </c>
      <c r="M11" s="23">
        <v>6</v>
      </c>
      <c r="N11" s="23">
        <v>22</v>
      </c>
      <c r="O11" s="23">
        <v>22</v>
      </c>
      <c r="P11" s="23">
        <v>39</v>
      </c>
      <c r="Q11" s="23">
        <v>64</v>
      </c>
      <c r="R11" s="23">
        <v>58</v>
      </c>
      <c r="S11" s="23">
        <v>115</v>
      </c>
      <c r="T11" s="23">
        <v>161</v>
      </c>
      <c r="U11" s="23">
        <v>229</v>
      </c>
      <c r="V11" s="23">
        <v>299</v>
      </c>
      <c r="W11" s="28">
        <v>293</v>
      </c>
    </row>
    <row r="12" spans="1:23" x14ac:dyDescent="0.25">
      <c r="A12" s="20">
        <v>5</v>
      </c>
      <c r="B12" s="27">
        <v>44596</v>
      </c>
      <c r="C12" s="23">
        <v>1205</v>
      </c>
      <c r="D12" s="23">
        <v>0</v>
      </c>
      <c r="E12" s="23">
        <v>0</v>
      </c>
      <c r="F12" s="23">
        <v>0</v>
      </c>
      <c r="G12" s="23">
        <v>1</v>
      </c>
      <c r="H12" s="23">
        <v>0</v>
      </c>
      <c r="I12" s="23">
        <v>0</v>
      </c>
      <c r="J12" s="23">
        <v>2</v>
      </c>
      <c r="K12" s="23">
        <v>2</v>
      </c>
      <c r="L12" s="23">
        <v>2</v>
      </c>
      <c r="M12" s="23">
        <v>7</v>
      </c>
      <c r="N12" s="23">
        <v>9</v>
      </c>
      <c r="O12" s="23">
        <v>19</v>
      </c>
      <c r="P12" s="23">
        <v>25</v>
      </c>
      <c r="Q12" s="23">
        <v>57</v>
      </c>
      <c r="R12" s="23">
        <v>71</v>
      </c>
      <c r="S12" s="23">
        <v>93</v>
      </c>
      <c r="T12" s="23">
        <v>167</v>
      </c>
      <c r="U12" s="23">
        <v>210</v>
      </c>
      <c r="V12" s="23">
        <v>251</v>
      </c>
      <c r="W12" s="28">
        <v>289</v>
      </c>
    </row>
    <row r="13" spans="1:23" x14ac:dyDescent="0.25">
      <c r="A13" s="20">
        <v>6</v>
      </c>
      <c r="B13" s="27">
        <v>44603</v>
      </c>
      <c r="C13" s="23">
        <v>932</v>
      </c>
      <c r="D13" s="23">
        <v>0</v>
      </c>
      <c r="E13" s="23">
        <v>0</v>
      </c>
      <c r="F13" s="23">
        <v>0</v>
      </c>
      <c r="G13" s="23">
        <v>0</v>
      </c>
      <c r="H13" s="23">
        <v>0</v>
      </c>
      <c r="I13" s="23">
        <v>0</v>
      </c>
      <c r="J13" s="23">
        <v>1</v>
      </c>
      <c r="K13" s="23">
        <v>3</v>
      </c>
      <c r="L13" s="23">
        <v>5</v>
      </c>
      <c r="M13" s="23">
        <v>10</v>
      </c>
      <c r="N13" s="23">
        <v>10</v>
      </c>
      <c r="O13" s="23">
        <v>17</v>
      </c>
      <c r="P13" s="23">
        <v>27</v>
      </c>
      <c r="Q13" s="23">
        <v>24</v>
      </c>
      <c r="R13" s="23">
        <v>52</v>
      </c>
      <c r="S13" s="23">
        <v>72</v>
      </c>
      <c r="T13" s="23">
        <v>114</v>
      </c>
      <c r="U13" s="23">
        <v>165</v>
      </c>
      <c r="V13" s="23">
        <v>204</v>
      </c>
      <c r="W13" s="28">
        <v>228</v>
      </c>
    </row>
    <row r="14" spans="1:23" x14ac:dyDescent="0.25">
      <c r="A14" s="20">
        <v>7</v>
      </c>
      <c r="B14" s="27">
        <v>44610</v>
      </c>
      <c r="C14" s="23">
        <v>836</v>
      </c>
      <c r="D14" s="23">
        <v>0</v>
      </c>
      <c r="E14" s="23">
        <v>0</v>
      </c>
      <c r="F14" s="23">
        <v>0</v>
      </c>
      <c r="G14" s="23">
        <v>0</v>
      </c>
      <c r="H14" s="23">
        <v>1</v>
      </c>
      <c r="I14" s="23">
        <v>0</v>
      </c>
      <c r="J14" s="23">
        <v>1</v>
      </c>
      <c r="K14" s="23">
        <v>1</v>
      </c>
      <c r="L14" s="23">
        <v>3</v>
      </c>
      <c r="M14" s="23">
        <v>7</v>
      </c>
      <c r="N14" s="23">
        <v>5</v>
      </c>
      <c r="O14" s="23">
        <v>18</v>
      </c>
      <c r="P14" s="23">
        <v>21</v>
      </c>
      <c r="Q14" s="23">
        <v>23</v>
      </c>
      <c r="R14" s="23">
        <v>40</v>
      </c>
      <c r="S14" s="23">
        <v>78</v>
      </c>
      <c r="T14" s="23">
        <v>99</v>
      </c>
      <c r="U14" s="23">
        <v>137</v>
      </c>
      <c r="V14" s="23">
        <v>175</v>
      </c>
      <c r="W14" s="28">
        <v>227</v>
      </c>
    </row>
    <row r="15" spans="1:23" x14ac:dyDescent="0.25">
      <c r="A15" s="20">
        <v>8</v>
      </c>
      <c r="B15" s="27">
        <v>44617</v>
      </c>
      <c r="C15" s="23">
        <v>712</v>
      </c>
      <c r="D15" s="23">
        <v>0</v>
      </c>
      <c r="E15" s="23">
        <v>0</v>
      </c>
      <c r="F15" s="23">
        <v>0</v>
      </c>
      <c r="G15" s="23">
        <v>0</v>
      </c>
      <c r="H15" s="23">
        <v>0</v>
      </c>
      <c r="I15" s="23">
        <v>1</v>
      </c>
      <c r="J15" s="23">
        <v>1</v>
      </c>
      <c r="K15" s="23">
        <v>0</v>
      </c>
      <c r="L15" s="23">
        <v>4</v>
      </c>
      <c r="M15" s="23">
        <v>4</v>
      </c>
      <c r="N15" s="23">
        <v>7</v>
      </c>
      <c r="O15" s="23">
        <v>12</v>
      </c>
      <c r="P15" s="23">
        <v>14</v>
      </c>
      <c r="Q15" s="23">
        <v>19</v>
      </c>
      <c r="R15" s="23">
        <v>21</v>
      </c>
      <c r="S15" s="23">
        <v>59</v>
      </c>
      <c r="T15" s="23">
        <v>88</v>
      </c>
      <c r="U15" s="23">
        <v>148</v>
      </c>
      <c r="V15" s="23">
        <v>152</v>
      </c>
      <c r="W15" s="28">
        <v>182</v>
      </c>
    </row>
    <row r="16" spans="1:23" x14ac:dyDescent="0.25">
      <c r="A16" s="20">
        <v>9</v>
      </c>
      <c r="B16" s="27">
        <v>44624</v>
      </c>
      <c r="C16" s="23">
        <v>645</v>
      </c>
      <c r="D16" s="23">
        <v>1</v>
      </c>
      <c r="E16" s="23">
        <v>0</v>
      </c>
      <c r="F16" s="23">
        <v>0</v>
      </c>
      <c r="G16" s="23">
        <v>0</v>
      </c>
      <c r="H16" s="23">
        <v>1</v>
      </c>
      <c r="I16" s="23">
        <v>0</v>
      </c>
      <c r="J16" s="23">
        <v>1</v>
      </c>
      <c r="K16" s="23">
        <v>1</v>
      </c>
      <c r="L16" s="23">
        <v>4</v>
      </c>
      <c r="M16" s="23">
        <v>3</v>
      </c>
      <c r="N16" s="23">
        <v>3</v>
      </c>
      <c r="O16" s="23">
        <v>9</v>
      </c>
      <c r="P16" s="23">
        <v>14</v>
      </c>
      <c r="Q16" s="23">
        <v>27</v>
      </c>
      <c r="R16" s="23">
        <v>24</v>
      </c>
      <c r="S16" s="23">
        <v>51</v>
      </c>
      <c r="T16" s="23">
        <v>94</v>
      </c>
      <c r="U16" s="23">
        <v>104</v>
      </c>
      <c r="V16" s="23">
        <v>129</v>
      </c>
      <c r="W16" s="28">
        <v>179</v>
      </c>
    </row>
    <row r="17" spans="1:23" x14ac:dyDescent="0.25">
      <c r="A17" s="20">
        <v>10</v>
      </c>
      <c r="B17" s="27">
        <v>44631</v>
      </c>
      <c r="C17" s="23">
        <v>647</v>
      </c>
      <c r="D17" s="23">
        <v>0</v>
      </c>
      <c r="E17" s="23">
        <v>0</v>
      </c>
      <c r="F17" s="23">
        <v>0</v>
      </c>
      <c r="G17" s="23">
        <v>0</v>
      </c>
      <c r="H17" s="23">
        <v>0</v>
      </c>
      <c r="I17" s="23">
        <v>2</v>
      </c>
      <c r="J17" s="23">
        <v>0</v>
      </c>
      <c r="K17" s="23">
        <v>4</v>
      </c>
      <c r="L17" s="23">
        <v>2</v>
      </c>
      <c r="M17" s="23">
        <v>5</v>
      </c>
      <c r="N17" s="23">
        <v>3</v>
      </c>
      <c r="O17" s="23">
        <v>7</v>
      </c>
      <c r="P17" s="23">
        <v>11</v>
      </c>
      <c r="Q17" s="23">
        <v>18</v>
      </c>
      <c r="R17" s="23">
        <v>22</v>
      </c>
      <c r="S17" s="23">
        <v>51</v>
      </c>
      <c r="T17" s="23">
        <v>72</v>
      </c>
      <c r="U17" s="23">
        <v>123</v>
      </c>
      <c r="V17" s="23">
        <v>128</v>
      </c>
      <c r="W17" s="28">
        <v>199</v>
      </c>
    </row>
    <row r="18" spans="1:23" x14ac:dyDescent="0.25">
      <c r="A18" s="20">
        <v>11</v>
      </c>
      <c r="B18" s="27">
        <v>44638</v>
      </c>
      <c r="C18" s="23">
        <v>773</v>
      </c>
      <c r="D18" s="23">
        <v>0</v>
      </c>
      <c r="E18" s="23">
        <v>0</v>
      </c>
      <c r="F18" s="23">
        <v>1</v>
      </c>
      <c r="G18" s="23">
        <v>0</v>
      </c>
      <c r="H18" s="23">
        <v>0</v>
      </c>
      <c r="I18" s="23">
        <v>1</v>
      </c>
      <c r="J18" s="23">
        <v>1</v>
      </c>
      <c r="K18" s="23">
        <v>2</v>
      </c>
      <c r="L18" s="23">
        <v>1</v>
      </c>
      <c r="M18" s="23">
        <v>3</v>
      </c>
      <c r="N18" s="23">
        <v>7</v>
      </c>
      <c r="O18" s="23">
        <v>11</v>
      </c>
      <c r="P18" s="23">
        <v>20</v>
      </c>
      <c r="Q18" s="23">
        <v>22</v>
      </c>
      <c r="R18" s="23">
        <v>36</v>
      </c>
      <c r="S18" s="23">
        <v>53</v>
      </c>
      <c r="T18" s="23">
        <v>99</v>
      </c>
      <c r="U18" s="23">
        <v>145</v>
      </c>
      <c r="V18" s="23">
        <v>174</v>
      </c>
      <c r="W18" s="28">
        <v>197</v>
      </c>
    </row>
    <row r="19" spans="1:23" x14ac:dyDescent="0.25">
      <c r="A19" s="20">
        <v>12</v>
      </c>
      <c r="B19" s="27">
        <v>44645</v>
      </c>
      <c r="C19" s="23">
        <v>943</v>
      </c>
      <c r="D19" s="23">
        <v>0</v>
      </c>
      <c r="E19" s="23">
        <v>1</v>
      </c>
      <c r="F19" s="23">
        <v>0</v>
      </c>
      <c r="G19" s="23">
        <v>1</v>
      </c>
      <c r="H19" s="23">
        <v>0</v>
      </c>
      <c r="I19" s="23">
        <v>1</v>
      </c>
      <c r="J19" s="23">
        <v>2</v>
      </c>
      <c r="K19" s="23">
        <v>2</v>
      </c>
      <c r="L19" s="23">
        <v>3</v>
      </c>
      <c r="M19" s="23">
        <v>6</v>
      </c>
      <c r="N19" s="23">
        <v>3</v>
      </c>
      <c r="O19" s="23">
        <v>17</v>
      </c>
      <c r="P19" s="23">
        <v>19</v>
      </c>
      <c r="Q19" s="23">
        <v>25</v>
      </c>
      <c r="R19" s="23">
        <v>42</v>
      </c>
      <c r="S19" s="23">
        <v>83</v>
      </c>
      <c r="T19" s="23">
        <v>119</v>
      </c>
      <c r="U19" s="23">
        <v>163</v>
      </c>
      <c r="V19" s="23">
        <v>174</v>
      </c>
      <c r="W19" s="28">
        <v>282</v>
      </c>
    </row>
    <row r="20" spans="1:23" x14ac:dyDescent="0.25">
      <c r="A20" s="20">
        <v>13</v>
      </c>
      <c r="B20" s="27">
        <v>44652</v>
      </c>
      <c r="C20" s="23">
        <v>1069</v>
      </c>
      <c r="D20" s="23">
        <v>0</v>
      </c>
      <c r="E20" s="23">
        <v>2</v>
      </c>
      <c r="F20" s="23">
        <v>0</v>
      </c>
      <c r="G20" s="23">
        <v>0</v>
      </c>
      <c r="H20" s="23">
        <v>0</v>
      </c>
      <c r="I20" s="23">
        <v>1</v>
      </c>
      <c r="J20" s="23">
        <v>1</v>
      </c>
      <c r="K20" s="23">
        <v>1</v>
      </c>
      <c r="L20" s="23">
        <v>7</v>
      </c>
      <c r="M20" s="23">
        <v>5</v>
      </c>
      <c r="N20" s="23">
        <v>12</v>
      </c>
      <c r="O20" s="23">
        <v>6</v>
      </c>
      <c r="P20" s="23">
        <v>15</v>
      </c>
      <c r="Q20" s="23">
        <v>27</v>
      </c>
      <c r="R20" s="23">
        <v>44</v>
      </c>
      <c r="S20" s="23">
        <v>81</v>
      </c>
      <c r="T20" s="23">
        <v>141</v>
      </c>
      <c r="U20" s="23">
        <v>172</v>
      </c>
      <c r="V20" s="23">
        <v>247</v>
      </c>
      <c r="W20" s="28">
        <v>307</v>
      </c>
    </row>
    <row r="21" spans="1:23" x14ac:dyDescent="0.25">
      <c r="A21" s="20">
        <v>14</v>
      </c>
      <c r="B21" s="27">
        <v>44659</v>
      </c>
      <c r="C21" s="23">
        <v>1245</v>
      </c>
      <c r="D21" s="23">
        <v>0</v>
      </c>
      <c r="E21" s="23">
        <v>0</v>
      </c>
      <c r="F21" s="23">
        <v>0</v>
      </c>
      <c r="G21" s="23">
        <v>0</v>
      </c>
      <c r="H21" s="23">
        <v>2</v>
      </c>
      <c r="I21" s="23">
        <v>2</v>
      </c>
      <c r="J21" s="23">
        <v>4</v>
      </c>
      <c r="K21" s="23">
        <v>1</v>
      </c>
      <c r="L21" s="23">
        <v>2</v>
      </c>
      <c r="M21" s="23">
        <v>6</v>
      </c>
      <c r="N21" s="23">
        <v>4</v>
      </c>
      <c r="O21" s="23">
        <v>11</v>
      </c>
      <c r="P21" s="23">
        <v>21</v>
      </c>
      <c r="Q21" s="23">
        <v>34</v>
      </c>
      <c r="R21" s="23">
        <v>65</v>
      </c>
      <c r="S21" s="23">
        <v>92</v>
      </c>
      <c r="T21" s="23">
        <v>160</v>
      </c>
      <c r="U21" s="23">
        <v>206</v>
      </c>
      <c r="V21" s="23">
        <v>269</v>
      </c>
      <c r="W21" s="28">
        <v>366</v>
      </c>
    </row>
    <row r="22" spans="1:23" x14ac:dyDescent="0.25">
      <c r="A22" s="20">
        <v>15</v>
      </c>
      <c r="B22" s="27">
        <v>44666</v>
      </c>
      <c r="C22" s="23">
        <v>1184</v>
      </c>
      <c r="D22" s="23">
        <v>0</v>
      </c>
      <c r="E22" s="23">
        <v>0</v>
      </c>
      <c r="F22" s="23">
        <v>0</v>
      </c>
      <c r="G22" s="23">
        <v>0</v>
      </c>
      <c r="H22" s="23">
        <v>0</v>
      </c>
      <c r="I22" s="23">
        <v>1</v>
      </c>
      <c r="J22" s="23">
        <v>0</v>
      </c>
      <c r="K22" s="23">
        <v>2</v>
      </c>
      <c r="L22" s="23">
        <v>2</v>
      </c>
      <c r="M22" s="23">
        <v>7</v>
      </c>
      <c r="N22" s="23">
        <v>4</v>
      </c>
      <c r="O22" s="23">
        <v>11</v>
      </c>
      <c r="P22" s="23">
        <v>20</v>
      </c>
      <c r="Q22" s="23">
        <v>29</v>
      </c>
      <c r="R22" s="23">
        <v>38</v>
      </c>
      <c r="S22" s="23">
        <v>79</v>
      </c>
      <c r="T22" s="23">
        <v>161</v>
      </c>
      <c r="U22" s="23">
        <v>226</v>
      </c>
      <c r="V22" s="23">
        <v>257</v>
      </c>
      <c r="W22" s="28">
        <v>347</v>
      </c>
    </row>
    <row r="23" spans="1:23" x14ac:dyDescent="0.25">
      <c r="A23" s="20">
        <v>16</v>
      </c>
      <c r="B23" s="27">
        <v>44673</v>
      </c>
      <c r="C23" s="23">
        <v>1015</v>
      </c>
      <c r="D23" s="23">
        <v>0</v>
      </c>
      <c r="E23" s="23">
        <v>0</v>
      </c>
      <c r="F23" s="23">
        <v>0</v>
      </c>
      <c r="G23" s="23">
        <v>0</v>
      </c>
      <c r="H23" s="23">
        <v>1</v>
      </c>
      <c r="I23" s="23">
        <v>0</v>
      </c>
      <c r="J23" s="23">
        <v>3</v>
      </c>
      <c r="K23" s="23">
        <v>1</v>
      </c>
      <c r="L23" s="23">
        <v>0</v>
      </c>
      <c r="M23" s="23">
        <v>3</v>
      </c>
      <c r="N23" s="23">
        <v>7</v>
      </c>
      <c r="O23" s="23">
        <v>10</v>
      </c>
      <c r="P23" s="23">
        <v>28</v>
      </c>
      <c r="Q23" s="23">
        <v>23</v>
      </c>
      <c r="R23" s="23">
        <v>51</v>
      </c>
      <c r="S23" s="23">
        <v>81</v>
      </c>
      <c r="T23" s="23">
        <v>156</v>
      </c>
      <c r="U23" s="23">
        <v>164</v>
      </c>
      <c r="V23" s="23">
        <v>217</v>
      </c>
      <c r="W23" s="28">
        <v>270</v>
      </c>
    </row>
    <row r="24" spans="1:23" x14ac:dyDescent="0.25">
      <c r="A24" s="20">
        <v>17</v>
      </c>
      <c r="B24" s="27">
        <v>44680</v>
      </c>
      <c r="C24" s="23">
        <v>796</v>
      </c>
      <c r="D24" s="23">
        <v>0</v>
      </c>
      <c r="E24" s="23">
        <v>0</v>
      </c>
      <c r="F24" s="23">
        <v>1</v>
      </c>
      <c r="G24" s="23">
        <v>0</v>
      </c>
      <c r="H24" s="23">
        <v>0</v>
      </c>
      <c r="I24" s="23">
        <v>0</v>
      </c>
      <c r="J24" s="23">
        <v>1</v>
      </c>
      <c r="K24" s="23">
        <v>0</v>
      </c>
      <c r="L24" s="23">
        <v>2</v>
      </c>
      <c r="M24" s="23">
        <v>7</v>
      </c>
      <c r="N24" s="23">
        <v>3</v>
      </c>
      <c r="O24" s="23">
        <v>6</v>
      </c>
      <c r="P24" s="23">
        <v>14</v>
      </c>
      <c r="Q24" s="23">
        <v>33</v>
      </c>
      <c r="R24" s="23">
        <v>41</v>
      </c>
      <c r="S24" s="23">
        <v>60</v>
      </c>
      <c r="T24" s="23">
        <v>106</v>
      </c>
      <c r="U24" s="23">
        <v>146</v>
      </c>
      <c r="V24" s="23">
        <v>167</v>
      </c>
      <c r="W24" s="28">
        <v>209</v>
      </c>
    </row>
    <row r="25" spans="1:23" x14ac:dyDescent="0.25">
      <c r="A25" s="20">
        <v>18</v>
      </c>
      <c r="B25" s="27">
        <v>44687</v>
      </c>
      <c r="C25" s="23">
        <v>636</v>
      </c>
      <c r="D25" s="23">
        <v>0</v>
      </c>
      <c r="E25" s="23">
        <v>0</v>
      </c>
      <c r="F25" s="23">
        <v>0</v>
      </c>
      <c r="G25" s="23">
        <v>1</v>
      </c>
      <c r="H25" s="23">
        <v>0</v>
      </c>
      <c r="I25" s="23">
        <v>0</v>
      </c>
      <c r="J25" s="23">
        <v>1</v>
      </c>
      <c r="K25" s="23">
        <v>1</v>
      </c>
      <c r="L25" s="23">
        <v>1</v>
      </c>
      <c r="M25" s="23">
        <v>1</v>
      </c>
      <c r="N25" s="23">
        <v>6</v>
      </c>
      <c r="O25" s="23">
        <v>7</v>
      </c>
      <c r="P25" s="23">
        <v>14</v>
      </c>
      <c r="Q25" s="23">
        <v>16</v>
      </c>
      <c r="R25" s="23">
        <v>30</v>
      </c>
      <c r="S25" s="23">
        <v>58</v>
      </c>
      <c r="T25" s="23">
        <v>87</v>
      </c>
      <c r="U25" s="23">
        <v>108</v>
      </c>
      <c r="V25" s="23">
        <v>142</v>
      </c>
      <c r="W25" s="28">
        <v>163</v>
      </c>
    </row>
    <row r="26" spans="1:23" x14ac:dyDescent="0.25">
      <c r="A26" s="20">
        <v>19</v>
      </c>
      <c r="B26" s="27">
        <v>44694</v>
      </c>
      <c r="C26" s="23">
        <v>526</v>
      </c>
      <c r="D26" s="23">
        <v>1</v>
      </c>
      <c r="E26" s="23">
        <v>0</v>
      </c>
      <c r="F26" s="23">
        <v>0</v>
      </c>
      <c r="G26" s="23">
        <v>0</v>
      </c>
      <c r="H26" s="23">
        <v>1</v>
      </c>
      <c r="I26" s="23">
        <v>0</v>
      </c>
      <c r="J26" s="23">
        <v>0</v>
      </c>
      <c r="K26" s="23">
        <v>1</v>
      </c>
      <c r="L26" s="23">
        <v>1</v>
      </c>
      <c r="M26" s="23">
        <v>1</v>
      </c>
      <c r="N26" s="23">
        <v>6</v>
      </c>
      <c r="O26" s="23">
        <v>8</v>
      </c>
      <c r="P26" s="23">
        <v>10</v>
      </c>
      <c r="Q26" s="23">
        <v>15</v>
      </c>
      <c r="R26" s="23">
        <v>37</v>
      </c>
      <c r="S26" s="23">
        <v>45</v>
      </c>
      <c r="T26" s="23">
        <v>67</v>
      </c>
      <c r="U26" s="23">
        <v>86</v>
      </c>
      <c r="V26" s="23">
        <v>112</v>
      </c>
      <c r="W26" s="28">
        <v>135</v>
      </c>
    </row>
    <row r="27" spans="1:23" x14ac:dyDescent="0.25">
      <c r="A27" s="20">
        <v>20</v>
      </c>
      <c r="B27" s="27">
        <v>44701</v>
      </c>
      <c r="C27" s="23">
        <v>372</v>
      </c>
      <c r="D27" s="23">
        <v>0</v>
      </c>
      <c r="E27" s="23">
        <v>1</v>
      </c>
      <c r="F27" s="23">
        <v>0</v>
      </c>
      <c r="G27" s="23">
        <v>0</v>
      </c>
      <c r="H27" s="23">
        <v>0</v>
      </c>
      <c r="I27" s="23">
        <v>0</v>
      </c>
      <c r="J27" s="23">
        <v>1</v>
      </c>
      <c r="K27" s="23">
        <v>2</v>
      </c>
      <c r="L27" s="23">
        <v>1</v>
      </c>
      <c r="M27" s="23">
        <v>2</v>
      </c>
      <c r="N27" s="23">
        <v>4</v>
      </c>
      <c r="O27" s="23">
        <v>5</v>
      </c>
      <c r="P27" s="23">
        <v>5</v>
      </c>
      <c r="Q27" s="23">
        <v>8</v>
      </c>
      <c r="R27" s="23">
        <v>20</v>
      </c>
      <c r="S27" s="23">
        <v>36</v>
      </c>
      <c r="T27" s="23">
        <v>42</v>
      </c>
      <c r="U27" s="23">
        <v>63</v>
      </c>
      <c r="V27" s="23">
        <v>87</v>
      </c>
      <c r="W27" s="28">
        <v>95</v>
      </c>
    </row>
    <row r="28" spans="1:23" x14ac:dyDescent="0.25">
      <c r="A28" s="20">
        <v>21</v>
      </c>
      <c r="B28" s="27">
        <v>44708</v>
      </c>
      <c r="C28" s="23">
        <v>300</v>
      </c>
      <c r="D28" s="23">
        <v>1</v>
      </c>
      <c r="E28" s="23">
        <v>0</v>
      </c>
      <c r="F28" s="23">
        <v>1</v>
      </c>
      <c r="G28" s="23">
        <v>0</v>
      </c>
      <c r="H28" s="23">
        <v>0</v>
      </c>
      <c r="I28" s="23">
        <v>1</v>
      </c>
      <c r="J28" s="23">
        <v>1</v>
      </c>
      <c r="K28" s="23">
        <v>0</v>
      </c>
      <c r="L28" s="23">
        <v>3</v>
      </c>
      <c r="M28" s="23">
        <v>3</v>
      </c>
      <c r="N28" s="23">
        <v>2</v>
      </c>
      <c r="O28" s="23">
        <v>3</v>
      </c>
      <c r="P28" s="23">
        <v>7</v>
      </c>
      <c r="Q28" s="23">
        <v>9</v>
      </c>
      <c r="R28" s="23">
        <v>20</v>
      </c>
      <c r="S28" s="23">
        <v>25</v>
      </c>
      <c r="T28" s="23">
        <v>46</v>
      </c>
      <c r="U28" s="23">
        <v>53</v>
      </c>
      <c r="V28" s="23">
        <v>62</v>
      </c>
      <c r="W28" s="28">
        <v>63</v>
      </c>
    </row>
    <row r="29" spans="1:23" x14ac:dyDescent="0.25">
      <c r="A29" s="20">
        <v>22</v>
      </c>
      <c r="B29" s="27">
        <v>44715</v>
      </c>
      <c r="C29" s="23">
        <v>234</v>
      </c>
      <c r="D29" s="23">
        <v>0</v>
      </c>
      <c r="E29" s="23">
        <v>0</v>
      </c>
      <c r="F29" s="23">
        <v>0</v>
      </c>
      <c r="G29" s="23">
        <v>0</v>
      </c>
      <c r="H29" s="23">
        <v>0</v>
      </c>
      <c r="I29" s="23">
        <v>1</v>
      </c>
      <c r="J29" s="23">
        <v>0</v>
      </c>
      <c r="K29" s="23">
        <v>1</v>
      </c>
      <c r="L29" s="23">
        <v>1</v>
      </c>
      <c r="M29" s="23">
        <v>0</v>
      </c>
      <c r="N29" s="23">
        <v>1</v>
      </c>
      <c r="O29" s="23">
        <v>6</v>
      </c>
      <c r="P29" s="23">
        <v>4</v>
      </c>
      <c r="Q29" s="23">
        <v>7</v>
      </c>
      <c r="R29" s="23">
        <v>13</v>
      </c>
      <c r="S29" s="23">
        <v>23</v>
      </c>
      <c r="T29" s="23">
        <v>30</v>
      </c>
      <c r="U29" s="23">
        <v>37</v>
      </c>
      <c r="V29" s="23">
        <v>38</v>
      </c>
      <c r="W29" s="28">
        <v>72</v>
      </c>
    </row>
    <row r="30" spans="1:23" x14ac:dyDescent="0.25">
      <c r="A30" s="20">
        <v>23</v>
      </c>
      <c r="B30" s="27">
        <v>44722</v>
      </c>
      <c r="C30" s="23">
        <v>214</v>
      </c>
      <c r="D30" s="23">
        <v>0</v>
      </c>
      <c r="E30" s="23">
        <v>0</v>
      </c>
      <c r="F30" s="23">
        <v>0</v>
      </c>
      <c r="G30" s="23">
        <v>0</v>
      </c>
      <c r="H30" s="23">
        <v>0</v>
      </c>
      <c r="I30" s="23">
        <v>0</v>
      </c>
      <c r="J30" s="23">
        <v>1</v>
      </c>
      <c r="K30" s="23">
        <v>0</v>
      </c>
      <c r="L30" s="23">
        <v>1</v>
      </c>
      <c r="M30" s="23">
        <v>3</v>
      </c>
      <c r="N30" s="23">
        <v>4</v>
      </c>
      <c r="O30" s="23">
        <v>4</v>
      </c>
      <c r="P30" s="23">
        <v>3</v>
      </c>
      <c r="Q30" s="23">
        <v>7</v>
      </c>
      <c r="R30" s="23">
        <v>10</v>
      </c>
      <c r="S30" s="23">
        <v>17</v>
      </c>
      <c r="T30" s="23">
        <v>34</v>
      </c>
      <c r="U30" s="23">
        <v>25</v>
      </c>
      <c r="V30" s="23">
        <v>52</v>
      </c>
      <c r="W30" s="28">
        <v>53</v>
      </c>
    </row>
    <row r="31" spans="1:23" x14ac:dyDescent="0.25">
      <c r="A31" s="20">
        <v>24</v>
      </c>
      <c r="B31" s="27">
        <v>44729</v>
      </c>
      <c r="C31" s="23">
        <v>249</v>
      </c>
      <c r="D31" s="23">
        <v>0</v>
      </c>
      <c r="E31" s="23">
        <v>0</v>
      </c>
      <c r="F31" s="23">
        <v>1</v>
      </c>
      <c r="G31" s="23">
        <v>0</v>
      </c>
      <c r="H31" s="23">
        <v>0</v>
      </c>
      <c r="I31" s="23">
        <v>0</v>
      </c>
      <c r="J31" s="23">
        <v>2</v>
      </c>
      <c r="K31" s="23">
        <v>1</v>
      </c>
      <c r="L31" s="23">
        <v>1</v>
      </c>
      <c r="M31" s="23">
        <v>2</v>
      </c>
      <c r="N31" s="23">
        <v>0</v>
      </c>
      <c r="O31" s="23">
        <v>5</v>
      </c>
      <c r="P31" s="23">
        <v>4</v>
      </c>
      <c r="Q31" s="23">
        <v>9</v>
      </c>
      <c r="R31" s="23">
        <v>14</v>
      </c>
      <c r="S31" s="23">
        <v>28</v>
      </c>
      <c r="T31" s="23">
        <v>26</v>
      </c>
      <c r="U31" s="23">
        <v>40</v>
      </c>
      <c r="V31" s="23">
        <v>54</v>
      </c>
      <c r="W31" s="28">
        <v>62</v>
      </c>
    </row>
    <row r="32" spans="1:23" x14ac:dyDescent="0.25">
      <c r="A32" s="20">
        <v>25</v>
      </c>
      <c r="B32" s="27">
        <v>44736</v>
      </c>
      <c r="C32" s="23">
        <v>306</v>
      </c>
      <c r="D32" s="23">
        <v>0</v>
      </c>
      <c r="E32" s="23">
        <v>0</v>
      </c>
      <c r="F32" s="23">
        <v>0</v>
      </c>
      <c r="G32" s="23">
        <v>0</v>
      </c>
      <c r="H32" s="23">
        <v>0</v>
      </c>
      <c r="I32" s="23">
        <v>0</v>
      </c>
      <c r="J32" s="23">
        <v>0</v>
      </c>
      <c r="K32" s="23">
        <v>0</v>
      </c>
      <c r="L32" s="23">
        <v>0</v>
      </c>
      <c r="M32" s="23">
        <v>5</v>
      </c>
      <c r="N32" s="23">
        <v>4</v>
      </c>
      <c r="O32" s="23">
        <v>7</v>
      </c>
      <c r="P32" s="23">
        <v>7</v>
      </c>
      <c r="Q32" s="23">
        <v>13</v>
      </c>
      <c r="R32" s="23">
        <v>21</v>
      </c>
      <c r="S32" s="23">
        <v>28</v>
      </c>
      <c r="T32" s="23">
        <v>42</v>
      </c>
      <c r="U32" s="23">
        <v>48</v>
      </c>
      <c r="V32" s="23">
        <v>71</v>
      </c>
      <c r="W32" s="28">
        <v>60</v>
      </c>
    </row>
    <row r="33" spans="1:23" x14ac:dyDescent="0.25">
      <c r="A33" s="20">
        <v>26</v>
      </c>
      <c r="B33" s="27">
        <v>44743</v>
      </c>
      <c r="C33" s="23">
        <v>416</v>
      </c>
      <c r="D33" s="23">
        <v>1</v>
      </c>
      <c r="E33" s="23">
        <v>0</v>
      </c>
      <c r="F33" s="23">
        <v>1</v>
      </c>
      <c r="G33" s="23">
        <v>0</v>
      </c>
      <c r="H33" s="23">
        <v>0</v>
      </c>
      <c r="I33" s="23">
        <v>0</v>
      </c>
      <c r="J33" s="23">
        <v>1</v>
      </c>
      <c r="K33" s="23">
        <v>2</v>
      </c>
      <c r="L33" s="23">
        <v>3</v>
      </c>
      <c r="M33" s="23">
        <v>3</v>
      </c>
      <c r="N33" s="23">
        <v>3</v>
      </c>
      <c r="O33" s="23">
        <v>5</v>
      </c>
      <c r="P33" s="23">
        <v>20</v>
      </c>
      <c r="Q33" s="23">
        <v>14</v>
      </c>
      <c r="R33" s="23">
        <v>22</v>
      </c>
      <c r="S33" s="23">
        <v>50</v>
      </c>
      <c r="T33" s="23">
        <v>47</v>
      </c>
      <c r="U33" s="23">
        <v>64</v>
      </c>
      <c r="V33" s="23">
        <v>70</v>
      </c>
      <c r="W33" s="28">
        <v>110</v>
      </c>
    </row>
    <row r="34" spans="1:23" x14ac:dyDescent="0.25">
      <c r="A34" s="20">
        <v>27</v>
      </c>
      <c r="B34" s="27">
        <v>44750</v>
      </c>
      <c r="C34" s="23">
        <v>559</v>
      </c>
      <c r="D34" s="23">
        <v>0</v>
      </c>
      <c r="E34" s="23">
        <v>0</v>
      </c>
      <c r="F34" s="23">
        <v>0</v>
      </c>
      <c r="G34" s="23">
        <v>1</v>
      </c>
      <c r="H34" s="23">
        <v>1</v>
      </c>
      <c r="I34" s="23">
        <v>2</v>
      </c>
      <c r="J34" s="23">
        <v>2</v>
      </c>
      <c r="K34" s="23">
        <v>0</v>
      </c>
      <c r="L34" s="23">
        <v>2</v>
      </c>
      <c r="M34" s="23">
        <v>4</v>
      </c>
      <c r="N34" s="23">
        <v>6</v>
      </c>
      <c r="O34" s="23">
        <v>7</v>
      </c>
      <c r="P34" s="23">
        <v>12</v>
      </c>
      <c r="Q34" s="23">
        <v>16</v>
      </c>
      <c r="R34" s="23">
        <v>40</v>
      </c>
      <c r="S34" s="23">
        <v>51</v>
      </c>
      <c r="T34" s="23">
        <v>72</v>
      </c>
      <c r="U34" s="23">
        <v>96</v>
      </c>
      <c r="V34" s="23">
        <v>128</v>
      </c>
      <c r="W34" s="28">
        <v>119</v>
      </c>
    </row>
    <row r="35" spans="1:23" x14ac:dyDescent="0.25">
      <c r="A35" s="20">
        <v>28</v>
      </c>
      <c r="B35" s="27">
        <v>44757</v>
      </c>
      <c r="C35" s="23">
        <v>756</v>
      </c>
      <c r="D35" s="23">
        <v>0</v>
      </c>
      <c r="E35" s="23">
        <v>0</v>
      </c>
      <c r="F35" s="23">
        <v>1</v>
      </c>
      <c r="G35" s="23">
        <v>0</v>
      </c>
      <c r="H35" s="23">
        <v>0</v>
      </c>
      <c r="I35" s="23">
        <v>0</v>
      </c>
      <c r="J35" s="23">
        <v>0</v>
      </c>
      <c r="K35" s="23">
        <v>1</v>
      </c>
      <c r="L35" s="23">
        <v>3</v>
      </c>
      <c r="M35" s="23">
        <v>0</v>
      </c>
      <c r="N35" s="23">
        <v>6</v>
      </c>
      <c r="O35" s="23">
        <v>13</v>
      </c>
      <c r="P35" s="23">
        <v>24</v>
      </c>
      <c r="Q35" s="23">
        <v>27</v>
      </c>
      <c r="R35" s="23">
        <v>48</v>
      </c>
      <c r="S35" s="23">
        <v>60</v>
      </c>
      <c r="T35" s="23">
        <v>104</v>
      </c>
      <c r="U35" s="23">
        <v>112</v>
      </c>
      <c r="V35" s="23">
        <v>176</v>
      </c>
      <c r="W35" s="28">
        <v>181</v>
      </c>
    </row>
    <row r="36" spans="1:23" x14ac:dyDescent="0.25">
      <c r="A36" s="20">
        <v>29</v>
      </c>
      <c r="B36" s="27">
        <v>44764</v>
      </c>
      <c r="C36" s="23">
        <v>948</v>
      </c>
      <c r="D36" s="23">
        <v>0</v>
      </c>
      <c r="E36" s="23">
        <v>1</v>
      </c>
      <c r="F36" s="23">
        <v>0</v>
      </c>
      <c r="G36" s="23">
        <v>0</v>
      </c>
      <c r="H36" s="23">
        <v>0</v>
      </c>
      <c r="I36" s="23">
        <v>0</v>
      </c>
      <c r="J36" s="23">
        <v>0</v>
      </c>
      <c r="K36" s="23">
        <v>0</v>
      </c>
      <c r="L36" s="23">
        <v>1</v>
      </c>
      <c r="M36" s="23">
        <v>4</v>
      </c>
      <c r="N36" s="23">
        <v>7</v>
      </c>
      <c r="O36" s="23">
        <v>15</v>
      </c>
      <c r="P36" s="23">
        <v>18</v>
      </c>
      <c r="Q36" s="23">
        <v>37</v>
      </c>
      <c r="R36" s="23">
        <v>56</v>
      </c>
      <c r="S36" s="23">
        <v>97</v>
      </c>
      <c r="T36" s="23">
        <v>126</v>
      </c>
      <c r="U36" s="23">
        <v>160</v>
      </c>
      <c r="V36" s="23">
        <v>183</v>
      </c>
      <c r="W36" s="28">
        <v>243</v>
      </c>
    </row>
    <row r="37" spans="1:23" x14ac:dyDescent="0.25">
      <c r="A37" s="20">
        <v>30</v>
      </c>
      <c r="B37" s="27">
        <v>44771</v>
      </c>
      <c r="C37" s="23">
        <v>747</v>
      </c>
      <c r="D37" s="23">
        <v>0</v>
      </c>
      <c r="E37" s="23">
        <v>0</v>
      </c>
      <c r="F37" s="23">
        <v>0</v>
      </c>
      <c r="G37" s="23">
        <v>0</v>
      </c>
      <c r="H37" s="23">
        <v>1</v>
      </c>
      <c r="I37" s="23">
        <v>0</v>
      </c>
      <c r="J37" s="23">
        <v>1</v>
      </c>
      <c r="K37" s="23">
        <v>0</v>
      </c>
      <c r="L37" s="23">
        <v>7</v>
      </c>
      <c r="M37" s="23">
        <v>1</v>
      </c>
      <c r="N37" s="23">
        <v>7</v>
      </c>
      <c r="O37" s="23">
        <v>8</v>
      </c>
      <c r="P37" s="23">
        <v>18</v>
      </c>
      <c r="Q37" s="23">
        <v>23</v>
      </c>
      <c r="R37" s="23">
        <v>50</v>
      </c>
      <c r="S37" s="23">
        <v>54</v>
      </c>
      <c r="T37" s="23">
        <v>93</v>
      </c>
      <c r="U37" s="23">
        <v>129</v>
      </c>
      <c r="V37" s="23">
        <v>175</v>
      </c>
      <c r="W37" s="28">
        <v>180</v>
      </c>
    </row>
    <row r="38" spans="1:23" x14ac:dyDescent="0.25">
      <c r="A38" s="20">
        <v>31</v>
      </c>
      <c r="B38" s="27">
        <v>44778</v>
      </c>
      <c r="C38" s="23">
        <v>573</v>
      </c>
      <c r="D38" s="23">
        <v>2</v>
      </c>
      <c r="E38" s="23">
        <v>0</v>
      </c>
      <c r="F38" s="23">
        <v>0</v>
      </c>
      <c r="G38" s="23">
        <v>0</v>
      </c>
      <c r="H38" s="23">
        <v>0</v>
      </c>
      <c r="I38" s="23">
        <v>0</v>
      </c>
      <c r="J38" s="23">
        <v>1</v>
      </c>
      <c r="K38" s="23">
        <v>3</v>
      </c>
      <c r="L38" s="23">
        <v>3</v>
      </c>
      <c r="M38" s="23">
        <v>4</v>
      </c>
      <c r="N38" s="23">
        <v>5</v>
      </c>
      <c r="O38" s="23">
        <v>7</v>
      </c>
      <c r="P38" s="23">
        <v>11</v>
      </c>
      <c r="Q38" s="23">
        <v>10</v>
      </c>
      <c r="R38" s="23">
        <v>35</v>
      </c>
      <c r="S38" s="23">
        <v>50</v>
      </c>
      <c r="T38" s="23">
        <v>79</v>
      </c>
      <c r="U38" s="23">
        <v>109</v>
      </c>
      <c r="V38" s="23">
        <v>117</v>
      </c>
      <c r="W38" s="28">
        <v>137</v>
      </c>
    </row>
    <row r="39" spans="1:23" x14ac:dyDescent="0.25">
      <c r="A39" s="20">
        <v>32</v>
      </c>
      <c r="B39" s="27">
        <v>44785</v>
      </c>
      <c r="C39" s="23">
        <v>572</v>
      </c>
      <c r="D39" s="23">
        <v>0</v>
      </c>
      <c r="E39" s="23">
        <v>0</v>
      </c>
      <c r="F39" s="23">
        <v>0</v>
      </c>
      <c r="G39" s="23">
        <v>0</v>
      </c>
      <c r="H39" s="23">
        <v>0</v>
      </c>
      <c r="I39" s="23">
        <v>2</v>
      </c>
      <c r="J39" s="23">
        <v>0</v>
      </c>
      <c r="K39" s="23">
        <v>0</v>
      </c>
      <c r="L39" s="23">
        <v>1</v>
      </c>
      <c r="M39" s="23">
        <v>1</v>
      </c>
      <c r="N39" s="23">
        <v>3</v>
      </c>
      <c r="O39" s="23">
        <v>11</v>
      </c>
      <c r="P39" s="23">
        <v>9</v>
      </c>
      <c r="Q39" s="23">
        <v>19</v>
      </c>
      <c r="R39" s="23">
        <v>25</v>
      </c>
      <c r="S39" s="23">
        <v>60</v>
      </c>
      <c r="T39" s="23">
        <v>70</v>
      </c>
      <c r="U39" s="23">
        <v>92</v>
      </c>
      <c r="V39" s="23">
        <v>117</v>
      </c>
      <c r="W39" s="28">
        <v>162</v>
      </c>
    </row>
    <row r="40" spans="1:23" x14ac:dyDescent="0.25">
      <c r="A40" s="20">
        <v>33</v>
      </c>
      <c r="B40" s="27">
        <v>44792</v>
      </c>
      <c r="C40" s="23">
        <v>469</v>
      </c>
      <c r="D40" s="23">
        <v>1</v>
      </c>
      <c r="E40" s="23">
        <v>0</v>
      </c>
      <c r="F40" s="23">
        <v>0</v>
      </c>
      <c r="G40" s="23">
        <v>0</v>
      </c>
      <c r="H40" s="23">
        <v>0</v>
      </c>
      <c r="I40" s="23">
        <v>0</v>
      </c>
      <c r="J40" s="23">
        <v>0</v>
      </c>
      <c r="K40" s="23">
        <v>1</v>
      </c>
      <c r="L40" s="23">
        <v>2</v>
      </c>
      <c r="M40" s="23">
        <v>1</v>
      </c>
      <c r="N40" s="23">
        <v>4</v>
      </c>
      <c r="O40" s="23">
        <v>4</v>
      </c>
      <c r="P40" s="23">
        <v>7</v>
      </c>
      <c r="Q40" s="23">
        <v>14</v>
      </c>
      <c r="R40" s="23">
        <v>27</v>
      </c>
      <c r="S40" s="23">
        <v>53</v>
      </c>
      <c r="T40" s="23">
        <v>63</v>
      </c>
      <c r="U40" s="23">
        <v>77</v>
      </c>
      <c r="V40" s="23">
        <v>88</v>
      </c>
      <c r="W40" s="28">
        <v>127</v>
      </c>
    </row>
    <row r="41" spans="1:23" x14ac:dyDescent="0.25">
      <c r="A41" s="20">
        <v>34</v>
      </c>
      <c r="B41" s="27">
        <v>44799</v>
      </c>
      <c r="C41" s="23">
        <v>378</v>
      </c>
      <c r="D41" s="23">
        <v>0</v>
      </c>
      <c r="E41" s="23">
        <v>0</v>
      </c>
      <c r="F41" s="23">
        <v>0</v>
      </c>
      <c r="G41" s="23">
        <v>0</v>
      </c>
      <c r="H41" s="23">
        <v>0</v>
      </c>
      <c r="I41" s="23">
        <v>0</v>
      </c>
      <c r="J41" s="23">
        <v>0</v>
      </c>
      <c r="K41" s="23">
        <v>1</v>
      </c>
      <c r="L41" s="23">
        <v>0</v>
      </c>
      <c r="M41" s="23">
        <v>2</v>
      </c>
      <c r="N41" s="23">
        <v>4</v>
      </c>
      <c r="O41" s="23">
        <v>5</v>
      </c>
      <c r="P41" s="23">
        <v>6</v>
      </c>
      <c r="Q41" s="23">
        <v>7</v>
      </c>
      <c r="R41" s="23">
        <v>27</v>
      </c>
      <c r="S41" s="23">
        <v>38</v>
      </c>
      <c r="T41" s="23">
        <v>34</v>
      </c>
      <c r="U41" s="23">
        <v>72</v>
      </c>
      <c r="V41" s="23">
        <v>76</v>
      </c>
      <c r="W41" s="28">
        <v>106</v>
      </c>
    </row>
    <row r="42" spans="1:23" x14ac:dyDescent="0.25">
      <c r="A42" s="20">
        <v>35</v>
      </c>
      <c r="B42" s="27">
        <v>44806</v>
      </c>
      <c r="C42" s="23">
        <v>338</v>
      </c>
      <c r="D42" s="23">
        <v>0</v>
      </c>
      <c r="E42" s="23">
        <v>0</v>
      </c>
      <c r="F42" s="23">
        <v>0</v>
      </c>
      <c r="G42" s="23">
        <v>0</v>
      </c>
      <c r="H42" s="23">
        <v>0</v>
      </c>
      <c r="I42" s="23">
        <v>0</v>
      </c>
      <c r="J42" s="23">
        <v>0</v>
      </c>
      <c r="K42" s="23">
        <v>1</v>
      </c>
      <c r="L42" s="23">
        <v>2</v>
      </c>
      <c r="M42" s="23">
        <v>3</v>
      </c>
      <c r="N42" s="23">
        <v>4</v>
      </c>
      <c r="O42" s="23">
        <v>4</v>
      </c>
      <c r="P42" s="23">
        <v>5</v>
      </c>
      <c r="Q42" s="23">
        <v>11</v>
      </c>
      <c r="R42" s="23">
        <v>22</v>
      </c>
      <c r="S42" s="23">
        <v>32</v>
      </c>
      <c r="T42" s="23">
        <v>44</v>
      </c>
      <c r="U42" s="23">
        <v>48</v>
      </c>
      <c r="V42" s="23">
        <v>73</v>
      </c>
      <c r="W42" s="28">
        <v>89</v>
      </c>
    </row>
    <row r="43" spans="1:23" x14ac:dyDescent="0.25">
      <c r="A43" s="20">
        <v>36</v>
      </c>
      <c r="B43" s="27">
        <v>44813</v>
      </c>
      <c r="C43" s="23">
        <v>278</v>
      </c>
      <c r="D43" s="23">
        <v>1</v>
      </c>
      <c r="E43" s="23">
        <v>0</v>
      </c>
      <c r="F43" s="23">
        <v>0</v>
      </c>
      <c r="G43" s="23">
        <v>0</v>
      </c>
      <c r="H43" s="23">
        <v>0</v>
      </c>
      <c r="I43" s="23">
        <v>1</v>
      </c>
      <c r="J43" s="23">
        <v>1</v>
      </c>
      <c r="K43" s="23">
        <v>0</v>
      </c>
      <c r="L43" s="23">
        <v>2</v>
      </c>
      <c r="M43" s="23">
        <v>1</v>
      </c>
      <c r="N43" s="23">
        <v>1</v>
      </c>
      <c r="O43" s="23">
        <v>6</v>
      </c>
      <c r="P43" s="23">
        <v>3</v>
      </c>
      <c r="Q43" s="23">
        <v>10</v>
      </c>
      <c r="R43" s="23">
        <v>12</v>
      </c>
      <c r="S43" s="23">
        <v>28</v>
      </c>
      <c r="T43" s="23">
        <v>47</v>
      </c>
      <c r="U43" s="23">
        <v>50</v>
      </c>
      <c r="V43" s="23">
        <v>56</v>
      </c>
      <c r="W43" s="28">
        <v>59</v>
      </c>
    </row>
    <row r="44" spans="1:23" x14ac:dyDescent="0.25">
      <c r="A44" s="20">
        <v>37</v>
      </c>
      <c r="B44" s="27">
        <v>44820</v>
      </c>
      <c r="C44" s="23">
        <v>257</v>
      </c>
      <c r="D44" s="23">
        <v>1</v>
      </c>
      <c r="E44" s="23">
        <v>0</v>
      </c>
      <c r="F44" s="23">
        <v>0</v>
      </c>
      <c r="G44" s="23">
        <v>0</v>
      </c>
      <c r="H44" s="23">
        <v>0</v>
      </c>
      <c r="I44" s="23">
        <v>0</v>
      </c>
      <c r="J44" s="23">
        <v>0</v>
      </c>
      <c r="K44" s="23">
        <v>0</v>
      </c>
      <c r="L44" s="23">
        <v>1</v>
      </c>
      <c r="M44" s="23">
        <v>1</v>
      </c>
      <c r="N44" s="23">
        <v>4</v>
      </c>
      <c r="O44" s="23">
        <v>6</v>
      </c>
      <c r="P44" s="23">
        <v>6</v>
      </c>
      <c r="Q44" s="23">
        <v>3</v>
      </c>
      <c r="R44" s="23">
        <v>15</v>
      </c>
      <c r="S44" s="23">
        <v>31</v>
      </c>
      <c r="T44" s="23">
        <v>31</v>
      </c>
      <c r="U44" s="23">
        <v>37</v>
      </c>
      <c r="V44" s="23">
        <v>57</v>
      </c>
      <c r="W44" s="28">
        <v>64</v>
      </c>
    </row>
    <row r="45" spans="1:23" x14ac:dyDescent="0.25">
      <c r="A45" s="20">
        <v>38</v>
      </c>
      <c r="B45" s="27">
        <v>44827</v>
      </c>
      <c r="C45" s="23">
        <v>277</v>
      </c>
      <c r="D45" s="23">
        <v>0</v>
      </c>
      <c r="E45" s="23">
        <v>0</v>
      </c>
      <c r="F45" s="23">
        <v>0</v>
      </c>
      <c r="G45" s="23">
        <v>0</v>
      </c>
      <c r="H45" s="23">
        <v>0</v>
      </c>
      <c r="I45" s="23">
        <v>0</v>
      </c>
      <c r="J45" s="23">
        <v>0</v>
      </c>
      <c r="K45" s="23">
        <v>1</v>
      </c>
      <c r="L45" s="23">
        <v>0</v>
      </c>
      <c r="M45" s="23">
        <v>1</v>
      </c>
      <c r="N45" s="23">
        <v>6</v>
      </c>
      <c r="O45" s="23">
        <v>2</v>
      </c>
      <c r="P45" s="23">
        <v>6</v>
      </c>
      <c r="Q45" s="23">
        <v>6</v>
      </c>
      <c r="R45" s="23">
        <v>8</v>
      </c>
      <c r="S45" s="23">
        <v>24</v>
      </c>
      <c r="T45" s="23">
        <v>49</v>
      </c>
      <c r="U45" s="23">
        <v>44</v>
      </c>
      <c r="V45" s="23">
        <v>63</v>
      </c>
      <c r="W45" s="28">
        <v>67</v>
      </c>
    </row>
    <row r="46" spans="1:23" x14ac:dyDescent="0.25">
      <c r="A46" s="20">
        <v>39</v>
      </c>
      <c r="B46" s="27">
        <v>44834</v>
      </c>
      <c r="C46" s="23">
        <v>358</v>
      </c>
      <c r="D46" s="23">
        <v>0</v>
      </c>
      <c r="E46" s="23">
        <v>0</v>
      </c>
      <c r="F46" s="23">
        <v>0</v>
      </c>
      <c r="G46" s="23">
        <v>1</v>
      </c>
      <c r="H46" s="23">
        <v>0</v>
      </c>
      <c r="I46" s="23">
        <v>0</v>
      </c>
      <c r="J46" s="23">
        <v>0</v>
      </c>
      <c r="K46" s="23">
        <v>3</v>
      </c>
      <c r="L46" s="23">
        <v>0</v>
      </c>
      <c r="M46" s="23">
        <v>1</v>
      </c>
      <c r="N46" s="23">
        <v>3</v>
      </c>
      <c r="O46" s="23">
        <v>4</v>
      </c>
      <c r="P46" s="23">
        <v>7</v>
      </c>
      <c r="Q46" s="23">
        <v>8</v>
      </c>
      <c r="R46" s="23">
        <v>18</v>
      </c>
      <c r="S46" s="23">
        <v>36</v>
      </c>
      <c r="T46" s="23">
        <v>53</v>
      </c>
      <c r="U46" s="23">
        <v>51</v>
      </c>
      <c r="V46" s="23">
        <v>81</v>
      </c>
      <c r="W46" s="28">
        <v>92</v>
      </c>
    </row>
    <row r="47" spans="1:23" x14ac:dyDescent="0.25">
      <c r="A47" s="20">
        <v>40</v>
      </c>
      <c r="B47" s="27">
        <v>44841</v>
      </c>
      <c r="C47" s="23">
        <v>558</v>
      </c>
      <c r="D47" s="23">
        <v>0</v>
      </c>
      <c r="E47" s="23">
        <v>0</v>
      </c>
      <c r="F47" s="23">
        <v>0</v>
      </c>
      <c r="G47" s="23">
        <v>0</v>
      </c>
      <c r="H47" s="23">
        <v>0</v>
      </c>
      <c r="I47" s="23">
        <v>2</v>
      </c>
      <c r="J47" s="23">
        <v>0</v>
      </c>
      <c r="K47" s="23">
        <v>2</v>
      </c>
      <c r="L47" s="23">
        <v>0</v>
      </c>
      <c r="M47" s="23">
        <v>1</v>
      </c>
      <c r="N47" s="23">
        <v>3</v>
      </c>
      <c r="O47" s="23">
        <v>4</v>
      </c>
      <c r="P47" s="23">
        <v>17</v>
      </c>
      <c r="Q47" s="23">
        <v>16</v>
      </c>
      <c r="R47" s="23">
        <v>27</v>
      </c>
      <c r="S47" s="23">
        <v>41</v>
      </c>
      <c r="T47" s="23">
        <v>81</v>
      </c>
      <c r="U47" s="23">
        <v>94</v>
      </c>
      <c r="V47" s="23">
        <v>104</v>
      </c>
      <c r="W47" s="28">
        <v>166</v>
      </c>
    </row>
    <row r="48" spans="1:23" x14ac:dyDescent="0.25">
      <c r="A48" s="20">
        <v>41</v>
      </c>
      <c r="B48" s="27">
        <v>44848</v>
      </c>
      <c r="C48" s="23">
        <v>702</v>
      </c>
      <c r="D48" s="23">
        <v>0</v>
      </c>
      <c r="E48" s="23">
        <v>0</v>
      </c>
      <c r="F48" s="23">
        <v>0</v>
      </c>
      <c r="G48" s="23">
        <v>0</v>
      </c>
      <c r="H48" s="23">
        <v>0</v>
      </c>
      <c r="I48" s="23">
        <v>1</v>
      </c>
      <c r="J48" s="23">
        <v>2</v>
      </c>
      <c r="K48" s="23">
        <v>2</v>
      </c>
      <c r="L48" s="23">
        <v>1</v>
      </c>
      <c r="M48" s="23">
        <v>6</v>
      </c>
      <c r="N48" s="23">
        <v>0</v>
      </c>
      <c r="O48" s="23">
        <v>16</v>
      </c>
      <c r="P48" s="23">
        <v>18</v>
      </c>
      <c r="Q48" s="23">
        <v>22</v>
      </c>
      <c r="R48" s="23">
        <v>24</v>
      </c>
      <c r="S48" s="23">
        <v>66</v>
      </c>
      <c r="T48" s="23">
        <v>92</v>
      </c>
      <c r="U48" s="23">
        <v>124</v>
      </c>
      <c r="V48" s="23">
        <v>148</v>
      </c>
      <c r="W48" s="28">
        <v>180</v>
      </c>
    </row>
    <row r="49" spans="1:23" x14ac:dyDescent="0.25">
      <c r="A49" s="20">
        <v>42</v>
      </c>
      <c r="B49" s="27">
        <v>44855</v>
      </c>
      <c r="C49" s="23">
        <v>715</v>
      </c>
      <c r="D49" s="23">
        <v>0</v>
      </c>
      <c r="E49" s="23">
        <v>0</v>
      </c>
      <c r="F49" s="23">
        <v>0</v>
      </c>
      <c r="G49" s="23">
        <v>0</v>
      </c>
      <c r="H49" s="23">
        <v>0</v>
      </c>
      <c r="I49" s="23">
        <v>1</v>
      </c>
      <c r="J49" s="23">
        <v>0</v>
      </c>
      <c r="K49" s="23">
        <v>2</v>
      </c>
      <c r="L49" s="23">
        <v>1</v>
      </c>
      <c r="M49" s="23">
        <v>2</v>
      </c>
      <c r="N49" s="23">
        <v>3</v>
      </c>
      <c r="O49" s="23">
        <v>17</v>
      </c>
      <c r="P49" s="23">
        <v>9</v>
      </c>
      <c r="Q49" s="23">
        <v>23</v>
      </c>
      <c r="R49" s="23">
        <v>35</v>
      </c>
      <c r="S49" s="23">
        <v>56</v>
      </c>
      <c r="T49" s="23">
        <v>93</v>
      </c>
      <c r="U49" s="23">
        <v>127</v>
      </c>
      <c r="V49" s="23">
        <v>151</v>
      </c>
      <c r="W49" s="28">
        <v>195</v>
      </c>
    </row>
    <row r="50" spans="1:23" x14ac:dyDescent="0.25">
      <c r="A50" s="20">
        <v>43</v>
      </c>
      <c r="B50" s="27">
        <v>44862</v>
      </c>
      <c r="C50" s="23">
        <v>667</v>
      </c>
      <c r="D50" s="23">
        <v>0</v>
      </c>
      <c r="E50" s="23">
        <v>0</v>
      </c>
      <c r="F50" s="23">
        <v>1</v>
      </c>
      <c r="G50" s="23">
        <v>0</v>
      </c>
      <c r="H50" s="23">
        <v>0</v>
      </c>
      <c r="I50" s="23">
        <v>0</v>
      </c>
      <c r="J50" s="23">
        <v>0</v>
      </c>
      <c r="K50" s="23">
        <v>0</v>
      </c>
      <c r="L50" s="23">
        <v>2</v>
      </c>
      <c r="M50" s="23">
        <v>3</v>
      </c>
      <c r="N50" s="23">
        <v>5</v>
      </c>
      <c r="O50" s="23">
        <v>3</v>
      </c>
      <c r="P50" s="23">
        <v>10</v>
      </c>
      <c r="Q50" s="23">
        <v>26</v>
      </c>
      <c r="R50" s="23">
        <v>25</v>
      </c>
      <c r="S50" s="23">
        <v>66</v>
      </c>
      <c r="T50" s="23">
        <v>86</v>
      </c>
      <c r="U50" s="23">
        <v>110</v>
      </c>
      <c r="V50" s="23">
        <v>156</v>
      </c>
      <c r="W50" s="28">
        <v>174</v>
      </c>
    </row>
    <row r="51" spans="1:23" x14ac:dyDescent="0.25">
      <c r="A51" s="20">
        <v>44</v>
      </c>
      <c r="B51" s="27">
        <v>44869</v>
      </c>
      <c r="C51" s="23">
        <v>557</v>
      </c>
      <c r="D51" s="23">
        <v>0</v>
      </c>
      <c r="E51" s="23">
        <v>0</v>
      </c>
      <c r="F51" s="23">
        <v>0</v>
      </c>
      <c r="G51" s="23">
        <v>1</v>
      </c>
      <c r="H51" s="23">
        <v>0</v>
      </c>
      <c r="I51" s="23">
        <v>0</v>
      </c>
      <c r="J51" s="23">
        <v>1</v>
      </c>
      <c r="K51" s="23">
        <v>0</v>
      </c>
      <c r="L51" s="23">
        <v>2</v>
      </c>
      <c r="M51" s="23">
        <v>2</v>
      </c>
      <c r="N51" s="23">
        <v>2</v>
      </c>
      <c r="O51" s="23">
        <v>3</v>
      </c>
      <c r="P51" s="23">
        <v>10</v>
      </c>
      <c r="Q51" s="23">
        <v>23</v>
      </c>
      <c r="R51" s="23">
        <v>27</v>
      </c>
      <c r="S51" s="23">
        <v>53</v>
      </c>
      <c r="T51" s="23">
        <v>75</v>
      </c>
      <c r="U51" s="23">
        <v>96</v>
      </c>
      <c r="V51" s="23">
        <v>118</v>
      </c>
      <c r="W51" s="28">
        <v>144</v>
      </c>
    </row>
    <row r="52" spans="1:23" x14ac:dyDescent="0.25">
      <c r="A52" s="20">
        <v>45</v>
      </c>
      <c r="B52" s="27">
        <v>44876</v>
      </c>
      <c r="C52" s="23">
        <v>414</v>
      </c>
      <c r="D52" s="23">
        <v>2</v>
      </c>
      <c r="E52" s="23">
        <v>0</v>
      </c>
      <c r="F52" s="23">
        <v>0</v>
      </c>
      <c r="G52" s="23">
        <v>0</v>
      </c>
      <c r="H52" s="23">
        <v>0</v>
      </c>
      <c r="I52" s="23">
        <v>0</v>
      </c>
      <c r="J52" s="23">
        <v>0</v>
      </c>
      <c r="K52" s="23">
        <v>1</v>
      </c>
      <c r="L52" s="23">
        <v>0</v>
      </c>
      <c r="M52" s="23">
        <v>2</v>
      </c>
      <c r="N52" s="23">
        <v>5</v>
      </c>
      <c r="O52" s="23">
        <v>9</v>
      </c>
      <c r="P52" s="23">
        <v>11</v>
      </c>
      <c r="Q52" s="23">
        <v>13</v>
      </c>
      <c r="R52" s="23">
        <v>26</v>
      </c>
      <c r="S52" s="23">
        <v>39</v>
      </c>
      <c r="T52" s="23">
        <v>57</v>
      </c>
      <c r="U52" s="23">
        <v>72</v>
      </c>
      <c r="V52" s="23">
        <v>84</v>
      </c>
      <c r="W52" s="28">
        <v>93</v>
      </c>
    </row>
    <row r="53" spans="1:23" x14ac:dyDescent="0.25">
      <c r="A53" s="20">
        <v>46</v>
      </c>
      <c r="B53" s="27">
        <v>44883</v>
      </c>
      <c r="C53" s="23">
        <v>351</v>
      </c>
      <c r="D53" s="23">
        <v>0</v>
      </c>
      <c r="E53" s="23">
        <v>0</v>
      </c>
      <c r="F53" s="23">
        <v>0</v>
      </c>
      <c r="G53" s="23">
        <v>0</v>
      </c>
      <c r="H53" s="23">
        <v>0</v>
      </c>
      <c r="I53" s="23">
        <v>0</v>
      </c>
      <c r="J53" s="23">
        <v>0</v>
      </c>
      <c r="K53" s="23">
        <v>1</v>
      </c>
      <c r="L53" s="23">
        <v>1</v>
      </c>
      <c r="M53" s="23">
        <v>1</v>
      </c>
      <c r="N53" s="23">
        <v>4</v>
      </c>
      <c r="O53" s="23">
        <v>1</v>
      </c>
      <c r="P53" s="23">
        <v>6</v>
      </c>
      <c r="Q53" s="23">
        <v>9</v>
      </c>
      <c r="R53" s="23">
        <v>12</v>
      </c>
      <c r="S53" s="23">
        <v>32</v>
      </c>
      <c r="T53" s="23">
        <v>51</v>
      </c>
      <c r="U53" s="23">
        <v>65</v>
      </c>
      <c r="V53" s="23">
        <v>89</v>
      </c>
      <c r="W53" s="28">
        <v>79</v>
      </c>
    </row>
    <row r="54" spans="1:23" x14ac:dyDescent="0.25">
      <c r="A54" s="20">
        <v>47</v>
      </c>
      <c r="B54" s="27">
        <v>44890</v>
      </c>
      <c r="C54" s="23">
        <v>331</v>
      </c>
      <c r="D54" s="23">
        <v>1</v>
      </c>
      <c r="E54" s="23">
        <v>0</v>
      </c>
      <c r="F54" s="23">
        <v>0</v>
      </c>
      <c r="G54" s="23">
        <v>0</v>
      </c>
      <c r="H54" s="23">
        <v>0</v>
      </c>
      <c r="I54" s="23">
        <v>0</v>
      </c>
      <c r="J54" s="23">
        <v>0</v>
      </c>
      <c r="K54" s="23">
        <v>0</v>
      </c>
      <c r="L54" s="23">
        <v>2</v>
      </c>
      <c r="M54" s="23">
        <v>3</v>
      </c>
      <c r="N54" s="23">
        <v>6</v>
      </c>
      <c r="O54" s="23">
        <v>6</v>
      </c>
      <c r="P54" s="23">
        <v>3</v>
      </c>
      <c r="Q54" s="23">
        <v>13</v>
      </c>
      <c r="R54" s="23">
        <v>20</v>
      </c>
      <c r="S54" s="23">
        <v>27</v>
      </c>
      <c r="T54" s="23">
        <v>45</v>
      </c>
      <c r="U54" s="23">
        <v>59</v>
      </c>
      <c r="V54" s="23">
        <v>77</v>
      </c>
      <c r="W54" s="28">
        <v>69</v>
      </c>
    </row>
    <row r="55" spans="1:23" x14ac:dyDescent="0.25">
      <c r="A55" s="20">
        <v>48</v>
      </c>
      <c r="B55" s="27">
        <v>44897</v>
      </c>
      <c r="C55" s="23">
        <v>317</v>
      </c>
      <c r="D55" s="23">
        <v>1</v>
      </c>
      <c r="E55" s="23">
        <v>0</v>
      </c>
      <c r="F55" s="23">
        <v>0</v>
      </c>
      <c r="G55" s="23">
        <v>0</v>
      </c>
      <c r="H55" s="23">
        <v>0</v>
      </c>
      <c r="I55" s="23">
        <v>1</v>
      </c>
      <c r="J55" s="23">
        <v>1</v>
      </c>
      <c r="K55" s="23">
        <v>0</v>
      </c>
      <c r="L55" s="23">
        <v>0</v>
      </c>
      <c r="M55" s="23">
        <v>0</v>
      </c>
      <c r="N55" s="23">
        <v>1</v>
      </c>
      <c r="O55" s="23">
        <v>4</v>
      </c>
      <c r="P55" s="23">
        <v>6</v>
      </c>
      <c r="Q55" s="23">
        <v>8</v>
      </c>
      <c r="R55" s="23">
        <v>16</v>
      </c>
      <c r="S55" s="23">
        <v>24</v>
      </c>
      <c r="T55" s="23">
        <v>52</v>
      </c>
      <c r="U55" s="23">
        <v>53</v>
      </c>
      <c r="V55" s="23">
        <v>73</v>
      </c>
      <c r="W55" s="28">
        <v>77</v>
      </c>
    </row>
    <row r="56" spans="1:23" x14ac:dyDescent="0.25">
      <c r="A56" s="20">
        <v>49</v>
      </c>
      <c r="B56" s="27">
        <v>44904</v>
      </c>
      <c r="C56" s="23">
        <v>391</v>
      </c>
      <c r="D56" s="23">
        <v>0</v>
      </c>
      <c r="E56" s="23">
        <v>0</v>
      </c>
      <c r="F56" s="23">
        <v>0</v>
      </c>
      <c r="G56" s="23">
        <v>1</v>
      </c>
      <c r="H56" s="23">
        <v>1</v>
      </c>
      <c r="I56" s="23">
        <v>0</v>
      </c>
      <c r="J56" s="23">
        <v>1</v>
      </c>
      <c r="K56" s="23">
        <v>1</v>
      </c>
      <c r="L56" s="23">
        <v>1</v>
      </c>
      <c r="M56" s="23">
        <v>1</v>
      </c>
      <c r="N56" s="23">
        <v>3</v>
      </c>
      <c r="O56" s="23">
        <v>10</v>
      </c>
      <c r="P56" s="23">
        <v>4</v>
      </c>
      <c r="Q56" s="23">
        <v>12</v>
      </c>
      <c r="R56" s="23">
        <v>15</v>
      </c>
      <c r="S56" s="23">
        <v>23</v>
      </c>
      <c r="T56" s="23">
        <v>62</v>
      </c>
      <c r="U56" s="23">
        <v>66</v>
      </c>
      <c r="V56" s="23">
        <v>83</v>
      </c>
      <c r="W56" s="28">
        <v>107</v>
      </c>
    </row>
    <row r="57" spans="1:23" x14ac:dyDescent="0.25">
      <c r="A57" s="20">
        <v>50</v>
      </c>
      <c r="B57" s="27">
        <v>44911</v>
      </c>
      <c r="C57" s="23">
        <v>455</v>
      </c>
      <c r="D57" s="23">
        <v>0</v>
      </c>
      <c r="E57" s="23">
        <v>0</v>
      </c>
      <c r="F57" s="23">
        <v>0</v>
      </c>
      <c r="G57" s="23">
        <v>0</v>
      </c>
      <c r="H57" s="23">
        <v>0</v>
      </c>
      <c r="I57" s="23">
        <v>0</v>
      </c>
      <c r="J57" s="23">
        <v>0</v>
      </c>
      <c r="K57" s="23">
        <v>2</v>
      </c>
      <c r="L57" s="23">
        <v>2</v>
      </c>
      <c r="M57" s="23">
        <v>2</v>
      </c>
      <c r="N57" s="23">
        <v>1</v>
      </c>
      <c r="O57" s="23">
        <v>4</v>
      </c>
      <c r="P57" s="23">
        <v>9</v>
      </c>
      <c r="Q57" s="23">
        <v>18</v>
      </c>
      <c r="R57" s="23">
        <v>19</v>
      </c>
      <c r="S57" s="23">
        <v>38</v>
      </c>
      <c r="T57" s="23">
        <v>55</v>
      </c>
      <c r="U57" s="23">
        <v>73</v>
      </c>
      <c r="V57" s="23">
        <v>99</v>
      </c>
      <c r="W57" s="28">
        <v>133</v>
      </c>
    </row>
    <row r="58" spans="1:23" x14ac:dyDescent="0.25">
      <c r="A58" s="20">
        <v>51</v>
      </c>
      <c r="B58" s="27">
        <v>44918</v>
      </c>
      <c r="C58" s="23">
        <v>669</v>
      </c>
      <c r="D58" s="23">
        <v>0</v>
      </c>
      <c r="E58" s="23">
        <v>0</v>
      </c>
      <c r="F58" s="23">
        <v>0</v>
      </c>
      <c r="G58" s="23">
        <v>0</v>
      </c>
      <c r="H58" s="23">
        <v>0</v>
      </c>
      <c r="I58" s="23">
        <v>0</v>
      </c>
      <c r="J58" s="23">
        <v>1</v>
      </c>
      <c r="K58" s="23">
        <v>0</v>
      </c>
      <c r="L58" s="23">
        <v>3</v>
      </c>
      <c r="M58" s="23">
        <v>1</v>
      </c>
      <c r="N58" s="23">
        <v>6</v>
      </c>
      <c r="O58" s="23">
        <v>7</v>
      </c>
      <c r="P58" s="23">
        <v>13</v>
      </c>
      <c r="Q58" s="23">
        <v>18</v>
      </c>
      <c r="R58" s="23">
        <v>26</v>
      </c>
      <c r="S58" s="23">
        <v>57</v>
      </c>
      <c r="T58" s="23">
        <v>77</v>
      </c>
      <c r="U58" s="23">
        <v>120</v>
      </c>
      <c r="V58" s="23">
        <v>156</v>
      </c>
      <c r="W58" s="28">
        <v>184</v>
      </c>
    </row>
    <row r="59" spans="1:23" x14ac:dyDescent="0.25">
      <c r="A59" s="20">
        <v>52</v>
      </c>
      <c r="B59" s="27">
        <v>44925</v>
      </c>
      <c r="C59" s="23">
        <v>850</v>
      </c>
      <c r="D59" s="23">
        <v>0</v>
      </c>
      <c r="E59" s="23">
        <v>0</v>
      </c>
      <c r="F59" s="23">
        <v>0</v>
      </c>
      <c r="G59" s="23">
        <v>0</v>
      </c>
      <c r="H59" s="23">
        <v>1</v>
      </c>
      <c r="I59" s="23">
        <v>1</v>
      </c>
      <c r="J59" s="23">
        <v>0</v>
      </c>
      <c r="K59" s="23">
        <v>3</v>
      </c>
      <c r="L59" s="23">
        <v>1</v>
      </c>
      <c r="M59" s="23">
        <v>6</v>
      </c>
      <c r="N59" s="23">
        <v>3</v>
      </c>
      <c r="O59" s="23">
        <v>14</v>
      </c>
      <c r="P59" s="23">
        <v>9</v>
      </c>
      <c r="Q59" s="23">
        <v>28</v>
      </c>
      <c r="R59" s="23">
        <v>33</v>
      </c>
      <c r="S59" s="23">
        <v>65</v>
      </c>
      <c r="T59" s="23">
        <v>114</v>
      </c>
      <c r="U59" s="23">
        <v>150</v>
      </c>
      <c r="V59" s="23">
        <v>176</v>
      </c>
      <c r="W59" s="28">
        <v>246</v>
      </c>
    </row>
    <row r="60" spans="1:23" x14ac:dyDescent="0.25">
      <c r="A60" s="20">
        <v>1</v>
      </c>
      <c r="B60" s="27">
        <v>44932</v>
      </c>
      <c r="C60" s="23">
        <v>839</v>
      </c>
      <c r="D60" s="23">
        <v>0</v>
      </c>
      <c r="E60" s="23">
        <v>0</v>
      </c>
      <c r="F60" s="23">
        <v>0</v>
      </c>
      <c r="G60" s="23">
        <v>0</v>
      </c>
      <c r="H60" s="23">
        <v>0</v>
      </c>
      <c r="I60" s="23">
        <v>0</v>
      </c>
      <c r="J60" s="23">
        <v>2</v>
      </c>
      <c r="K60" s="23">
        <v>1</v>
      </c>
      <c r="L60" s="23">
        <v>3</v>
      </c>
      <c r="M60" s="23">
        <v>6</v>
      </c>
      <c r="N60" s="23">
        <v>3</v>
      </c>
      <c r="O60" s="23">
        <v>15</v>
      </c>
      <c r="P60" s="23">
        <v>11</v>
      </c>
      <c r="Q60" s="23">
        <v>25</v>
      </c>
      <c r="R60" s="23">
        <v>42</v>
      </c>
      <c r="S60" s="23">
        <v>72</v>
      </c>
      <c r="T60" s="23">
        <v>111</v>
      </c>
      <c r="U60" s="23">
        <v>135</v>
      </c>
      <c r="V60" s="23">
        <v>186</v>
      </c>
      <c r="W60" s="28">
        <v>227</v>
      </c>
    </row>
    <row r="61" spans="1:23" x14ac:dyDescent="0.25">
      <c r="A61" s="20">
        <v>2</v>
      </c>
      <c r="B61" s="27">
        <v>44939</v>
      </c>
      <c r="C61" s="23">
        <v>714</v>
      </c>
      <c r="D61" s="23">
        <v>0</v>
      </c>
      <c r="E61" s="23">
        <v>0</v>
      </c>
      <c r="F61" s="23">
        <v>0</v>
      </c>
      <c r="G61" s="23">
        <v>0</v>
      </c>
      <c r="H61" s="23">
        <v>0</v>
      </c>
      <c r="I61" s="23">
        <v>0</v>
      </c>
      <c r="J61" s="23">
        <v>0</v>
      </c>
      <c r="K61" s="23">
        <v>1</v>
      </c>
      <c r="L61" s="23">
        <v>1</v>
      </c>
      <c r="M61" s="23">
        <v>0</v>
      </c>
      <c r="N61" s="23">
        <v>4</v>
      </c>
      <c r="O61" s="23">
        <v>6</v>
      </c>
      <c r="P61" s="23">
        <v>18</v>
      </c>
      <c r="Q61" s="23">
        <v>25</v>
      </c>
      <c r="R61" s="23">
        <v>27</v>
      </c>
      <c r="S61" s="23">
        <v>43</v>
      </c>
      <c r="T61" s="23">
        <v>87</v>
      </c>
      <c r="U61" s="23">
        <v>122</v>
      </c>
      <c r="V61" s="23">
        <v>170</v>
      </c>
      <c r="W61" s="28">
        <v>210</v>
      </c>
    </row>
    <row r="62" spans="1:23" x14ac:dyDescent="0.25">
      <c r="A62" s="20">
        <v>3</v>
      </c>
      <c r="B62" s="27">
        <v>44946</v>
      </c>
      <c r="C62" s="23">
        <v>594</v>
      </c>
      <c r="D62" s="23">
        <v>0</v>
      </c>
      <c r="E62" s="23">
        <v>0</v>
      </c>
      <c r="F62" s="23">
        <v>0</v>
      </c>
      <c r="G62" s="23">
        <v>0</v>
      </c>
      <c r="H62" s="23">
        <v>0</v>
      </c>
      <c r="I62" s="23">
        <v>0</v>
      </c>
      <c r="J62" s="23">
        <v>0</v>
      </c>
      <c r="K62" s="23">
        <v>0</v>
      </c>
      <c r="L62" s="23">
        <v>1</v>
      </c>
      <c r="M62" s="23">
        <v>3</v>
      </c>
      <c r="N62" s="23">
        <v>4</v>
      </c>
      <c r="O62" s="23">
        <v>3</v>
      </c>
      <c r="P62" s="23">
        <v>13</v>
      </c>
      <c r="Q62" s="23">
        <v>14</v>
      </c>
      <c r="R62" s="23">
        <v>22</v>
      </c>
      <c r="S62" s="23">
        <v>42</v>
      </c>
      <c r="T62" s="23">
        <v>76</v>
      </c>
      <c r="U62" s="23">
        <v>108</v>
      </c>
      <c r="V62" s="23">
        <v>140</v>
      </c>
      <c r="W62" s="28">
        <v>168</v>
      </c>
    </row>
    <row r="63" spans="1:23" x14ac:dyDescent="0.25">
      <c r="A63" s="20">
        <v>4</v>
      </c>
      <c r="B63" s="27">
        <v>44953</v>
      </c>
      <c r="C63" s="23">
        <v>467</v>
      </c>
      <c r="D63" s="23">
        <v>1</v>
      </c>
      <c r="E63" s="23">
        <v>0</v>
      </c>
      <c r="F63" s="23">
        <v>0</v>
      </c>
      <c r="G63" s="23">
        <v>1</v>
      </c>
      <c r="H63" s="23">
        <v>0</v>
      </c>
      <c r="I63" s="23">
        <v>0</v>
      </c>
      <c r="J63" s="23">
        <v>0</v>
      </c>
      <c r="K63" s="23">
        <v>0</v>
      </c>
      <c r="L63" s="23">
        <v>1</v>
      </c>
      <c r="M63" s="23">
        <v>1</v>
      </c>
      <c r="N63" s="23">
        <v>5</v>
      </c>
      <c r="O63" s="23">
        <v>5</v>
      </c>
      <c r="P63" s="23">
        <v>8</v>
      </c>
      <c r="Q63" s="23">
        <v>10</v>
      </c>
      <c r="R63" s="23">
        <v>25</v>
      </c>
      <c r="S63" s="23">
        <v>22</v>
      </c>
      <c r="T63" s="23">
        <v>62</v>
      </c>
      <c r="U63" s="23">
        <v>90</v>
      </c>
      <c r="V63" s="23">
        <v>108</v>
      </c>
      <c r="W63" s="28">
        <v>128</v>
      </c>
    </row>
    <row r="64" spans="1:23" x14ac:dyDescent="0.25">
      <c r="A64" s="20">
        <v>5</v>
      </c>
      <c r="B64" s="27">
        <v>44960</v>
      </c>
      <c r="C64" s="23">
        <v>443</v>
      </c>
      <c r="D64" s="23">
        <v>1</v>
      </c>
      <c r="E64" s="23">
        <v>0</v>
      </c>
      <c r="F64" s="23">
        <v>0</v>
      </c>
      <c r="G64" s="23">
        <v>0</v>
      </c>
      <c r="H64" s="23">
        <v>0</v>
      </c>
      <c r="I64" s="23">
        <v>0</v>
      </c>
      <c r="J64" s="23">
        <v>1</v>
      </c>
      <c r="K64" s="23">
        <v>1</v>
      </c>
      <c r="L64" s="23">
        <v>1</v>
      </c>
      <c r="M64" s="23">
        <v>1</v>
      </c>
      <c r="N64" s="23">
        <v>0</v>
      </c>
      <c r="O64" s="23">
        <v>4</v>
      </c>
      <c r="P64" s="23">
        <v>4</v>
      </c>
      <c r="Q64" s="23">
        <v>9</v>
      </c>
      <c r="R64" s="23">
        <v>21</v>
      </c>
      <c r="S64" s="23">
        <v>32</v>
      </c>
      <c r="T64" s="23">
        <v>61</v>
      </c>
      <c r="U64" s="23">
        <v>86</v>
      </c>
      <c r="V64" s="23">
        <v>85</v>
      </c>
      <c r="W64" s="28">
        <v>136</v>
      </c>
    </row>
    <row r="65" spans="1:23" x14ac:dyDescent="0.25">
      <c r="A65" s="20">
        <v>6</v>
      </c>
      <c r="B65" s="27">
        <v>44967</v>
      </c>
      <c r="C65" s="23">
        <v>420</v>
      </c>
      <c r="D65" s="23">
        <v>0</v>
      </c>
      <c r="E65" s="23">
        <v>0</v>
      </c>
      <c r="F65" s="23">
        <v>0</v>
      </c>
      <c r="G65" s="23">
        <v>0</v>
      </c>
      <c r="H65" s="23">
        <v>0</v>
      </c>
      <c r="I65" s="23">
        <v>0</v>
      </c>
      <c r="J65" s="23">
        <v>0</v>
      </c>
      <c r="K65" s="23">
        <v>1</v>
      </c>
      <c r="L65" s="23">
        <v>1</v>
      </c>
      <c r="M65" s="23">
        <v>1</v>
      </c>
      <c r="N65" s="23">
        <v>3</v>
      </c>
      <c r="O65" s="23">
        <v>2</v>
      </c>
      <c r="P65" s="23">
        <v>6</v>
      </c>
      <c r="Q65" s="23">
        <v>19</v>
      </c>
      <c r="R65" s="23">
        <v>19</v>
      </c>
      <c r="S65" s="23">
        <v>40</v>
      </c>
      <c r="T65" s="23">
        <v>56</v>
      </c>
      <c r="U65" s="23">
        <v>73</v>
      </c>
      <c r="V65" s="23">
        <v>95</v>
      </c>
      <c r="W65" s="28">
        <v>104</v>
      </c>
    </row>
    <row r="66" spans="1:23" x14ac:dyDescent="0.25">
      <c r="A66" s="20">
        <v>7</v>
      </c>
      <c r="B66" s="27">
        <v>44974</v>
      </c>
      <c r="C66" s="23">
        <v>434</v>
      </c>
      <c r="D66" s="23">
        <v>0</v>
      </c>
      <c r="E66" s="23">
        <v>0</v>
      </c>
      <c r="F66" s="23">
        <v>0</v>
      </c>
      <c r="G66" s="23">
        <v>0</v>
      </c>
      <c r="H66" s="23">
        <v>0</v>
      </c>
      <c r="I66" s="23">
        <v>0</v>
      </c>
      <c r="J66" s="23">
        <v>2</v>
      </c>
      <c r="K66" s="23">
        <v>0</v>
      </c>
      <c r="L66" s="23">
        <v>0</v>
      </c>
      <c r="M66" s="23">
        <v>1</v>
      </c>
      <c r="N66" s="23">
        <v>4</v>
      </c>
      <c r="O66" s="23">
        <v>5</v>
      </c>
      <c r="P66" s="23">
        <v>11</v>
      </c>
      <c r="Q66" s="23">
        <v>13</v>
      </c>
      <c r="R66" s="23">
        <v>28</v>
      </c>
      <c r="S66" s="23">
        <v>39</v>
      </c>
      <c r="T66" s="23">
        <v>51</v>
      </c>
      <c r="U66" s="23">
        <v>86</v>
      </c>
      <c r="V66" s="23">
        <v>87</v>
      </c>
      <c r="W66" s="28">
        <v>107</v>
      </c>
    </row>
    <row r="67" spans="1:23" x14ac:dyDescent="0.25">
      <c r="A67" s="20">
        <v>8</v>
      </c>
      <c r="B67" s="27">
        <v>44981</v>
      </c>
      <c r="C67" s="23">
        <v>472</v>
      </c>
      <c r="D67" s="23">
        <v>0</v>
      </c>
      <c r="E67" s="23">
        <v>0</v>
      </c>
      <c r="F67" s="23">
        <v>0</v>
      </c>
      <c r="G67" s="23">
        <v>0</v>
      </c>
      <c r="H67" s="23">
        <v>0</v>
      </c>
      <c r="I67" s="23">
        <v>0</v>
      </c>
      <c r="J67" s="23">
        <v>0</v>
      </c>
      <c r="K67" s="23">
        <v>0</v>
      </c>
      <c r="L67" s="23">
        <v>0</v>
      </c>
      <c r="M67" s="23">
        <v>2</v>
      </c>
      <c r="N67" s="23">
        <v>2</v>
      </c>
      <c r="O67" s="23">
        <v>4</v>
      </c>
      <c r="P67" s="23">
        <v>9</v>
      </c>
      <c r="Q67" s="23">
        <v>9</v>
      </c>
      <c r="R67" s="23">
        <v>17</v>
      </c>
      <c r="S67" s="23">
        <v>41</v>
      </c>
      <c r="T67" s="23">
        <v>66</v>
      </c>
      <c r="U67" s="23">
        <v>84</v>
      </c>
      <c r="V67" s="23">
        <v>115</v>
      </c>
      <c r="W67" s="28">
        <v>123</v>
      </c>
    </row>
    <row r="68" spans="1:23" x14ac:dyDescent="0.25">
      <c r="A68" s="20">
        <v>9</v>
      </c>
      <c r="B68" s="27">
        <v>44988</v>
      </c>
      <c r="C68" s="23">
        <v>515</v>
      </c>
      <c r="D68" s="23">
        <v>0</v>
      </c>
      <c r="E68" s="23">
        <v>0</v>
      </c>
      <c r="F68" s="23">
        <v>0</v>
      </c>
      <c r="G68" s="23">
        <v>0</v>
      </c>
      <c r="H68" s="23">
        <v>0</v>
      </c>
      <c r="I68" s="23">
        <v>1</v>
      </c>
      <c r="J68" s="23">
        <v>1</v>
      </c>
      <c r="K68" s="23">
        <v>0</v>
      </c>
      <c r="L68" s="23">
        <v>4</v>
      </c>
      <c r="M68" s="23">
        <v>0</v>
      </c>
      <c r="N68" s="23">
        <v>1</v>
      </c>
      <c r="O68" s="23">
        <v>6</v>
      </c>
      <c r="P68" s="23">
        <v>8</v>
      </c>
      <c r="Q68" s="23">
        <v>11</v>
      </c>
      <c r="R68" s="23">
        <v>28</v>
      </c>
      <c r="S68" s="23">
        <v>35</v>
      </c>
      <c r="T68" s="23">
        <v>83</v>
      </c>
      <c r="U68" s="23">
        <v>106</v>
      </c>
      <c r="V68" s="23">
        <v>109</v>
      </c>
      <c r="W68" s="28">
        <v>122</v>
      </c>
    </row>
    <row r="69" spans="1:23" x14ac:dyDescent="0.25">
      <c r="A69" s="20">
        <v>10</v>
      </c>
      <c r="B69" s="27">
        <v>44995</v>
      </c>
      <c r="C69" s="23">
        <v>595</v>
      </c>
      <c r="D69" s="23">
        <v>0</v>
      </c>
      <c r="E69" s="23">
        <v>0</v>
      </c>
      <c r="F69" s="23">
        <v>0</v>
      </c>
      <c r="G69" s="23">
        <v>1</v>
      </c>
      <c r="H69" s="23">
        <v>0</v>
      </c>
      <c r="I69" s="23">
        <v>0</v>
      </c>
      <c r="J69" s="23">
        <v>0</v>
      </c>
      <c r="K69" s="23">
        <v>1</v>
      </c>
      <c r="L69" s="23">
        <v>2</v>
      </c>
      <c r="M69" s="23">
        <v>0</v>
      </c>
      <c r="N69" s="23">
        <v>5</v>
      </c>
      <c r="O69" s="23">
        <v>7</v>
      </c>
      <c r="P69" s="23">
        <v>8</v>
      </c>
      <c r="Q69" s="23">
        <v>12</v>
      </c>
      <c r="R69" s="23">
        <v>34</v>
      </c>
      <c r="S69" s="23">
        <v>51</v>
      </c>
      <c r="T69" s="23">
        <v>76</v>
      </c>
      <c r="U69" s="23">
        <v>106</v>
      </c>
      <c r="V69" s="23">
        <v>142</v>
      </c>
      <c r="W69" s="28">
        <v>150</v>
      </c>
    </row>
    <row r="70" spans="1:23" x14ac:dyDescent="0.25">
      <c r="A70" s="20">
        <v>11</v>
      </c>
      <c r="B70" s="27">
        <v>45002</v>
      </c>
      <c r="C70" s="23">
        <v>637</v>
      </c>
      <c r="D70" s="23">
        <v>0</v>
      </c>
      <c r="E70" s="23">
        <v>0</v>
      </c>
      <c r="F70" s="23">
        <v>1</v>
      </c>
      <c r="G70" s="23">
        <v>1</v>
      </c>
      <c r="H70" s="23">
        <v>0</v>
      </c>
      <c r="I70" s="23">
        <v>0</v>
      </c>
      <c r="J70" s="23">
        <v>0</v>
      </c>
      <c r="K70" s="23">
        <v>1</v>
      </c>
      <c r="L70" s="23">
        <v>2</v>
      </c>
      <c r="M70" s="23">
        <v>3</v>
      </c>
      <c r="N70" s="23">
        <v>6</v>
      </c>
      <c r="O70" s="23">
        <v>6</v>
      </c>
      <c r="P70" s="23">
        <v>12</v>
      </c>
      <c r="Q70" s="23">
        <v>14</v>
      </c>
      <c r="R70" s="23">
        <v>33</v>
      </c>
      <c r="S70" s="23">
        <v>44</v>
      </c>
      <c r="T70" s="23">
        <v>81</v>
      </c>
      <c r="U70" s="23">
        <v>109</v>
      </c>
      <c r="V70" s="23">
        <v>143</v>
      </c>
      <c r="W70" s="28">
        <v>181</v>
      </c>
    </row>
    <row r="71" spans="1:23" x14ac:dyDescent="0.25">
      <c r="A71" s="20">
        <v>12</v>
      </c>
      <c r="B71" s="27">
        <v>45009</v>
      </c>
      <c r="C71" s="23">
        <v>645</v>
      </c>
      <c r="D71" s="23">
        <v>1</v>
      </c>
      <c r="E71" s="23">
        <v>0</v>
      </c>
      <c r="F71" s="23">
        <v>0</v>
      </c>
      <c r="G71" s="23">
        <v>0</v>
      </c>
      <c r="H71" s="23">
        <v>1</v>
      </c>
      <c r="I71" s="23">
        <v>0</v>
      </c>
      <c r="J71" s="23">
        <v>1</v>
      </c>
      <c r="K71" s="23">
        <v>0</v>
      </c>
      <c r="L71" s="23">
        <v>0</v>
      </c>
      <c r="M71" s="23">
        <v>0</v>
      </c>
      <c r="N71" s="23">
        <v>3</v>
      </c>
      <c r="O71" s="23">
        <v>6</v>
      </c>
      <c r="P71" s="23">
        <v>8</v>
      </c>
      <c r="Q71" s="23">
        <v>19</v>
      </c>
      <c r="R71" s="23">
        <v>29</v>
      </c>
      <c r="S71" s="23">
        <v>47</v>
      </c>
      <c r="T71" s="23">
        <v>91</v>
      </c>
      <c r="U71" s="23">
        <v>111</v>
      </c>
      <c r="V71" s="23">
        <v>154</v>
      </c>
      <c r="W71" s="28">
        <v>174</v>
      </c>
    </row>
    <row r="72" spans="1:23" x14ac:dyDescent="0.25">
      <c r="A72" s="20">
        <v>13</v>
      </c>
      <c r="B72" s="27">
        <v>45016</v>
      </c>
      <c r="C72" s="23">
        <v>601</v>
      </c>
      <c r="D72" s="23">
        <v>0</v>
      </c>
      <c r="E72" s="23">
        <v>0</v>
      </c>
      <c r="F72" s="23">
        <v>0</v>
      </c>
      <c r="G72" s="23">
        <v>0</v>
      </c>
      <c r="H72" s="23">
        <v>0</v>
      </c>
      <c r="I72" s="23">
        <v>0</v>
      </c>
      <c r="J72" s="23">
        <v>0</v>
      </c>
      <c r="K72" s="23">
        <v>0</v>
      </c>
      <c r="L72" s="23">
        <v>0</v>
      </c>
      <c r="M72" s="23">
        <v>1</v>
      </c>
      <c r="N72" s="23">
        <v>2</v>
      </c>
      <c r="O72" s="23">
        <v>4</v>
      </c>
      <c r="P72" s="23">
        <v>10</v>
      </c>
      <c r="Q72" s="23">
        <v>22</v>
      </c>
      <c r="R72" s="23">
        <v>22</v>
      </c>
      <c r="S72" s="23">
        <v>50</v>
      </c>
      <c r="T72" s="23">
        <v>68</v>
      </c>
      <c r="U72" s="23">
        <v>124</v>
      </c>
      <c r="V72" s="23">
        <v>140</v>
      </c>
      <c r="W72" s="28">
        <v>158</v>
      </c>
    </row>
    <row r="73" spans="1:23" x14ac:dyDescent="0.25">
      <c r="A73" s="20">
        <v>14</v>
      </c>
      <c r="B73" s="27">
        <v>45023</v>
      </c>
      <c r="C73" s="23">
        <v>525</v>
      </c>
      <c r="D73" s="23">
        <v>0</v>
      </c>
      <c r="E73" s="23">
        <v>0</v>
      </c>
      <c r="F73" s="23">
        <v>0</v>
      </c>
      <c r="G73" s="23">
        <v>0</v>
      </c>
      <c r="H73" s="23">
        <v>0</v>
      </c>
      <c r="I73" s="23">
        <v>1</v>
      </c>
      <c r="J73" s="23">
        <v>0</v>
      </c>
      <c r="K73" s="23">
        <v>1</v>
      </c>
      <c r="L73" s="23">
        <v>1</v>
      </c>
      <c r="M73" s="23">
        <v>3</v>
      </c>
      <c r="N73" s="23">
        <v>3</v>
      </c>
      <c r="O73" s="23">
        <v>2</v>
      </c>
      <c r="P73" s="23">
        <v>7</v>
      </c>
      <c r="Q73" s="23">
        <v>18</v>
      </c>
      <c r="R73" s="23">
        <v>21</v>
      </c>
      <c r="S73" s="23">
        <v>31</v>
      </c>
      <c r="T73" s="23">
        <v>77</v>
      </c>
      <c r="U73" s="23">
        <v>101</v>
      </c>
      <c r="V73" s="23">
        <v>119</v>
      </c>
      <c r="W73" s="28">
        <v>140</v>
      </c>
    </row>
    <row r="74" spans="1:23" x14ac:dyDescent="0.25">
      <c r="A74" s="20">
        <v>15</v>
      </c>
      <c r="B74" s="27">
        <v>45030</v>
      </c>
      <c r="C74" s="23">
        <v>456</v>
      </c>
      <c r="D74" s="23">
        <v>0</v>
      </c>
      <c r="E74" s="23">
        <v>0</v>
      </c>
      <c r="F74" s="23">
        <v>0</v>
      </c>
      <c r="G74" s="23">
        <v>0</v>
      </c>
      <c r="H74" s="23">
        <v>0</v>
      </c>
      <c r="I74" s="23">
        <v>0</v>
      </c>
      <c r="J74" s="23">
        <v>0</v>
      </c>
      <c r="K74" s="23">
        <v>1</v>
      </c>
      <c r="L74" s="23">
        <v>1</v>
      </c>
      <c r="M74" s="23">
        <v>1</v>
      </c>
      <c r="N74" s="23">
        <v>3</v>
      </c>
      <c r="O74" s="23">
        <v>7</v>
      </c>
      <c r="P74" s="23">
        <v>9</v>
      </c>
      <c r="Q74" s="23">
        <v>14</v>
      </c>
      <c r="R74" s="23">
        <v>26</v>
      </c>
      <c r="S74" s="23">
        <v>30</v>
      </c>
      <c r="T74" s="23">
        <v>61</v>
      </c>
      <c r="U74" s="23">
        <v>88</v>
      </c>
      <c r="V74" s="23">
        <v>95</v>
      </c>
      <c r="W74" s="28">
        <v>120</v>
      </c>
    </row>
    <row r="75" spans="1:23" x14ac:dyDescent="0.25">
      <c r="A75" s="20">
        <v>16</v>
      </c>
      <c r="B75" s="27">
        <v>45037</v>
      </c>
      <c r="C75" s="23">
        <v>442</v>
      </c>
      <c r="D75" s="23">
        <v>0</v>
      </c>
      <c r="E75" s="23">
        <v>0</v>
      </c>
      <c r="F75" s="23">
        <v>0</v>
      </c>
      <c r="G75" s="23">
        <v>0</v>
      </c>
      <c r="H75" s="23">
        <v>1</v>
      </c>
      <c r="I75" s="23">
        <v>0</v>
      </c>
      <c r="J75" s="23">
        <v>0</v>
      </c>
      <c r="K75" s="23">
        <v>0</v>
      </c>
      <c r="L75" s="23">
        <v>0</v>
      </c>
      <c r="M75" s="23">
        <v>1</v>
      </c>
      <c r="N75" s="23">
        <v>3</v>
      </c>
      <c r="O75" s="23">
        <v>7</v>
      </c>
      <c r="P75" s="23">
        <v>10</v>
      </c>
      <c r="Q75" s="23">
        <v>15</v>
      </c>
      <c r="R75" s="23">
        <v>17</v>
      </c>
      <c r="S75" s="23">
        <v>33</v>
      </c>
      <c r="T75" s="23">
        <v>66</v>
      </c>
      <c r="U75" s="23">
        <v>80</v>
      </c>
      <c r="V75" s="23">
        <v>92</v>
      </c>
      <c r="W75" s="28">
        <v>117</v>
      </c>
    </row>
    <row r="76" spans="1:23" x14ac:dyDescent="0.25">
      <c r="A76" s="20">
        <v>17</v>
      </c>
      <c r="B76" s="27">
        <v>45044</v>
      </c>
      <c r="C76" s="23">
        <v>341</v>
      </c>
      <c r="D76" s="23">
        <v>0</v>
      </c>
      <c r="E76" s="23">
        <v>0</v>
      </c>
      <c r="F76" s="23">
        <v>0</v>
      </c>
      <c r="G76" s="23">
        <v>0</v>
      </c>
      <c r="H76" s="23">
        <v>0</v>
      </c>
      <c r="I76" s="23">
        <v>0</v>
      </c>
      <c r="J76" s="23">
        <v>0</v>
      </c>
      <c r="K76" s="23">
        <v>1</v>
      </c>
      <c r="L76" s="23">
        <v>0</v>
      </c>
      <c r="M76" s="23">
        <v>2</v>
      </c>
      <c r="N76" s="23">
        <v>2</v>
      </c>
      <c r="O76" s="23">
        <v>1</v>
      </c>
      <c r="P76" s="23">
        <v>9</v>
      </c>
      <c r="Q76" s="23">
        <v>12</v>
      </c>
      <c r="R76" s="23">
        <v>21</v>
      </c>
      <c r="S76" s="23">
        <v>20</v>
      </c>
      <c r="T76" s="23">
        <v>52</v>
      </c>
      <c r="U76" s="23">
        <v>55</v>
      </c>
      <c r="V76" s="23">
        <v>82</v>
      </c>
      <c r="W76" s="28">
        <v>84</v>
      </c>
    </row>
    <row r="77" spans="1:23" x14ac:dyDescent="0.25">
      <c r="A77" s="20">
        <v>18</v>
      </c>
      <c r="B77" s="27">
        <v>45051</v>
      </c>
      <c r="C77" s="23">
        <v>305</v>
      </c>
      <c r="D77" s="23">
        <v>0</v>
      </c>
      <c r="E77" s="23">
        <v>0</v>
      </c>
      <c r="F77" s="23">
        <v>0</v>
      </c>
      <c r="G77" s="23">
        <v>0</v>
      </c>
      <c r="H77" s="23">
        <v>0</v>
      </c>
      <c r="I77" s="23">
        <v>0</v>
      </c>
      <c r="J77" s="23">
        <v>0</v>
      </c>
      <c r="K77" s="23">
        <v>0</v>
      </c>
      <c r="L77" s="23">
        <v>0</v>
      </c>
      <c r="M77" s="23">
        <v>1</v>
      </c>
      <c r="N77" s="23">
        <v>0</v>
      </c>
      <c r="O77" s="23">
        <v>2</v>
      </c>
      <c r="P77" s="23">
        <v>8</v>
      </c>
      <c r="Q77" s="23">
        <v>11</v>
      </c>
      <c r="R77" s="23">
        <v>6</v>
      </c>
      <c r="S77" s="23">
        <v>23</v>
      </c>
      <c r="T77" s="23">
        <v>48</v>
      </c>
      <c r="U77" s="23">
        <v>56</v>
      </c>
      <c r="V77" s="23">
        <v>67</v>
      </c>
      <c r="W77" s="28">
        <v>83</v>
      </c>
    </row>
    <row r="78" spans="1:23" x14ac:dyDescent="0.25">
      <c r="A78" s="20">
        <v>19</v>
      </c>
      <c r="B78" s="27">
        <v>45058</v>
      </c>
      <c r="C78" s="23">
        <v>286</v>
      </c>
      <c r="D78" s="23">
        <v>0</v>
      </c>
      <c r="E78" s="23">
        <v>0</v>
      </c>
      <c r="F78" s="23">
        <v>0</v>
      </c>
      <c r="G78" s="23">
        <v>0</v>
      </c>
      <c r="H78" s="23">
        <v>0</v>
      </c>
      <c r="I78" s="23">
        <v>0</v>
      </c>
      <c r="J78" s="23">
        <v>0</v>
      </c>
      <c r="K78" s="23">
        <v>1</v>
      </c>
      <c r="L78" s="23">
        <v>0</v>
      </c>
      <c r="M78" s="23">
        <v>0</v>
      </c>
      <c r="N78" s="23">
        <v>0</v>
      </c>
      <c r="O78" s="23">
        <v>1</v>
      </c>
      <c r="P78" s="23">
        <v>4</v>
      </c>
      <c r="Q78" s="23">
        <v>4</v>
      </c>
      <c r="R78" s="23">
        <v>18</v>
      </c>
      <c r="S78" s="23">
        <v>29</v>
      </c>
      <c r="T78" s="23">
        <v>37</v>
      </c>
      <c r="U78" s="23">
        <v>44</v>
      </c>
      <c r="V78" s="23">
        <v>71</v>
      </c>
      <c r="W78" s="28">
        <v>77</v>
      </c>
    </row>
    <row r="79" spans="1:23" x14ac:dyDescent="0.25">
      <c r="A79" s="20">
        <v>20</v>
      </c>
      <c r="B79" s="27">
        <v>45065</v>
      </c>
      <c r="C79" s="23">
        <v>250</v>
      </c>
      <c r="D79" s="23">
        <v>0</v>
      </c>
      <c r="E79" s="23">
        <v>0</v>
      </c>
      <c r="F79" s="23">
        <v>0</v>
      </c>
      <c r="G79" s="23">
        <v>0</v>
      </c>
      <c r="H79" s="23">
        <v>0</v>
      </c>
      <c r="I79" s="23">
        <v>0</v>
      </c>
      <c r="J79" s="23">
        <v>0</v>
      </c>
      <c r="K79" s="23">
        <v>0</v>
      </c>
      <c r="L79" s="23">
        <v>0</v>
      </c>
      <c r="M79" s="23">
        <v>0</v>
      </c>
      <c r="N79" s="23">
        <v>0</v>
      </c>
      <c r="O79" s="23">
        <v>3</v>
      </c>
      <c r="P79" s="23">
        <v>4</v>
      </c>
      <c r="Q79" s="23">
        <v>9</v>
      </c>
      <c r="R79" s="23">
        <v>14</v>
      </c>
      <c r="S79" s="23">
        <v>26</v>
      </c>
      <c r="T79" s="23">
        <v>33</v>
      </c>
      <c r="U79" s="23">
        <v>63</v>
      </c>
      <c r="V79" s="23">
        <v>47</v>
      </c>
      <c r="W79" s="28">
        <v>51</v>
      </c>
    </row>
    <row r="80" spans="1:23" x14ac:dyDescent="0.25">
      <c r="A80" s="20">
        <v>21</v>
      </c>
      <c r="B80" s="27">
        <v>45072</v>
      </c>
      <c r="C80" s="23">
        <v>213</v>
      </c>
      <c r="D80" s="23">
        <v>0</v>
      </c>
      <c r="E80" s="23">
        <v>0</v>
      </c>
      <c r="F80" s="23">
        <v>0</v>
      </c>
      <c r="G80" s="23">
        <v>0</v>
      </c>
      <c r="H80" s="23">
        <v>0</v>
      </c>
      <c r="I80" s="23">
        <v>0</v>
      </c>
      <c r="J80" s="23">
        <v>0</v>
      </c>
      <c r="K80" s="23">
        <v>0</v>
      </c>
      <c r="L80" s="23">
        <v>0</v>
      </c>
      <c r="M80" s="23">
        <v>1</v>
      </c>
      <c r="N80" s="23">
        <v>0</v>
      </c>
      <c r="O80" s="23">
        <v>2</v>
      </c>
      <c r="P80" s="23">
        <v>5</v>
      </c>
      <c r="Q80" s="23">
        <v>2</v>
      </c>
      <c r="R80" s="23">
        <v>11</v>
      </c>
      <c r="S80" s="23">
        <v>17</v>
      </c>
      <c r="T80" s="23">
        <v>31</v>
      </c>
      <c r="U80" s="23">
        <v>46</v>
      </c>
      <c r="V80" s="23">
        <v>40</v>
      </c>
      <c r="W80" s="28">
        <v>58</v>
      </c>
    </row>
    <row r="81" spans="1:23" x14ac:dyDescent="0.25">
      <c r="A81" s="20">
        <v>22</v>
      </c>
      <c r="B81" s="27">
        <v>45079</v>
      </c>
      <c r="C81" s="23">
        <v>179</v>
      </c>
      <c r="D81" s="23">
        <v>0</v>
      </c>
      <c r="E81" s="23">
        <v>0</v>
      </c>
      <c r="F81" s="23">
        <v>0</v>
      </c>
      <c r="G81" s="23">
        <v>0</v>
      </c>
      <c r="H81" s="23">
        <v>0</v>
      </c>
      <c r="I81" s="23">
        <v>0</v>
      </c>
      <c r="J81" s="23">
        <v>0</v>
      </c>
      <c r="K81" s="23">
        <v>1</v>
      </c>
      <c r="L81" s="23">
        <v>0</v>
      </c>
      <c r="M81" s="23">
        <v>0</v>
      </c>
      <c r="N81" s="23">
        <v>1</v>
      </c>
      <c r="O81" s="23">
        <v>0</v>
      </c>
      <c r="P81" s="23">
        <v>0</v>
      </c>
      <c r="Q81" s="23">
        <v>3</v>
      </c>
      <c r="R81" s="23">
        <v>8</v>
      </c>
      <c r="S81" s="23">
        <v>13</v>
      </c>
      <c r="T81" s="23">
        <v>31</v>
      </c>
      <c r="U81" s="23">
        <v>44</v>
      </c>
      <c r="V81" s="23">
        <v>38</v>
      </c>
      <c r="W81" s="28">
        <v>40</v>
      </c>
    </row>
    <row r="82" spans="1:23" x14ac:dyDescent="0.25">
      <c r="A82" s="20">
        <v>23</v>
      </c>
      <c r="B82" s="27">
        <v>45086</v>
      </c>
      <c r="C82" s="23">
        <v>155</v>
      </c>
      <c r="D82" s="23">
        <v>0</v>
      </c>
      <c r="E82" s="23">
        <v>0</v>
      </c>
      <c r="F82" s="23">
        <v>0</v>
      </c>
      <c r="G82" s="23">
        <v>0</v>
      </c>
      <c r="H82" s="23">
        <v>0</v>
      </c>
      <c r="I82" s="23">
        <v>0</v>
      </c>
      <c r="J82" s="23">
        <v>0</v>
      </c>
      <c r="K82" s="23">
        <v>0</v>
      </c>
      <c r="L82" s="23">
        <v>0</v>
      </c>
      <c r="M82" s="23">
        <v>0</v>
      </c>
      <c r="N82" s="23">
        <v>1</v>
      </c>
      <c r="O82" s="23">
        <v>6</v>
      </c>
      <c r="P82" s="23">
        <v>6</v>
      </c>
      <c r="Q82" s="23">
        <v>5</v>
      </c>
      <c r="R82" s="23">
        <v>6</v>
      </c>
      <c r="S82" s="23">
        <v>14</v>
      </c>
      <c r="T82" s="23">
        <v>18</v>
      </c>
      <c r="U82" s="23">
        <v>22</v>
      </c>
      <c r="V82" s="23">
        <v>34</v>
      </c>
      <c r="W82" s="28">
        <v>43</v>
      </c>
    </row>
    <row r="83" spans="1:23" x14ac:dyDescent="0.25">
      <c r="A83" s="20">
        <v>24</v>
      </c>
      <c r="B83" s="27">
        <v>45093</v>
      </c>
      <c r="C83" s="23">
        <v>162</v>
      </c>
      <c r="D83" s="23">
        <v>1</v>
      </c>
      <c r="E83" s="23">
        <v>0</v>
      </c>
      <c r="F83" s="23">
        <v>0</v>
      </c>
      <c r="G83" s="23">
        <v>0</v>
      </c>
      <c r="H83" s="23">
        <v>0</v>
      </c>
      <c r="I83" s="23">
        <v>1</v>
      </c>
      <c r="J83" s="23">
        <v>0</v>
      </c>
      <c r="K83" s="23">
        <v>0</v>
      </c>
      <c r="L83" s="23">
        <v>0</v>
      </c>
      <c r="M83" s="23">
        <v>0</v>
      </c>
      <c r="N83" s="23">
        <v>0</v>
      </c>
      <c r="O83" s="23">
        <v>0</v>
      </c>
      <c r="P83" s="23">
        <v>3</v>
      </c>
      <c r="Q83" s="23">
        <v>4</v>
      </c>
      <c r="R83" s="23">
        <v>13</v>
      </c>
      <c r="S83" s="23">
        <v>6</v>
      </c>
      <c r="T83" s="23">
        <v>29</v>
      </c>
      <c r="U83" s="23">
        <v>32</v>
      </c>
      <c r="V83" s="23">
        <v>27</v>
      </c>
      <c r="W83" s="28">
        <v>46</v>
      </c>
    </row>
    <row r="84" spans="1:23" x14ac:dyDescent="0.25">
      <c r="A84" s="20">
        <v>25</v>
      </c>
      <c r="B84" s="27">
        <v>45100</v>
      </c>
      <c r="C84" s="23">
        <v>101</v>
      </c>
      <c r="D84" s="23">
        <v>0</v>
      </c>
      <c r="E84" s="23">
        <v>0</v>
      </c>
      <c r="F84" s="23">
        <v>0</v>
      </c>
      <c r="G84" s="23">
        <v>0</v>
      </c>
      <c r="H84" s="23">
        <v>0</v>
      </c>
      <c r="I84" s="23">
        <v>0</v>
      </c>
      <c r="J84" s="23">
        <v>0</v>
      </c>
      <c r="K84" s="23">
        <v>0</v>
      </c>
      <c r="L84" s="23">
        <v>0</v>
      </c>
      <c r="M84" s="23">
        <v>1</v>
      </c>
      <c r="N84" s="23">
        <v>1</v>
      </c>
      <c r="O84" s="23">
        <v>0</v>
      </c>
      <c r="P84" s="23">
        <v>1</v>
      </c>
      <c r="Q84" s="23">
        <v>5</v>
      </c>
      <c r="R84" s="23">
        <v>5</v>
      </c>
      <c r="S84" s="23">
        <v>8</v>
      </c>
      <c r="T84" s="23">
        <v>14</v>
      </c>
      <c r="U84" s="23">
        <v>22</v>
      </c>
      <c r="V84" s="23">
        <v>23</v>
      </c>
      <c r="W84" s="28">
        <v>21</v>
      </c>
    </row>
    <row r="85" spans="1:23" x14ac:dyDescent="0.25">
      <c r="A85" s="20">
        <v>26</v>
      </c>
      <c r="B85" s="27">
        <v>45107</v>
      </c>
      <c r="C85" s="23">
        <v>89</v>
      </c>
      <c r="D85" s="23">
        <v>0</v>
      </c>
      <c r="E85" s="23">
        <v>0</v>
      </c>
      <c r="F85" s="23">
        <v>0</v>
      </c>
      <c r="G85" s="23">
        <v>0</v>
      </c>
      <c r="H85" s="23">
        <v>0</v>
      </c>
      <c r="I85" s="23">
        <v>0</v>
      </c>
      <c r="J85" s="23">
        <v>0</v>
      </c>
      <c r="K85" s="23">
        <v>0</v>
      </c>
      <c r="L85" s="23">
        <v>0</v>
      </c>
      <c r="M85" s="23">
        <v>0</v>
      </c>
      <c r="N85" s="23">
        <v>1</v>
      </c>
      <c r="O85" s="23">
        <v>0</v>
      </c>
      <c r="P85" s="23">
        <v>2</v>
      </c>
      <c r="Q85" s="23">
        <v>5</v>
      </c>
      <c r="R85" s="23">
        <v>5</v>
      </c>
      <c r="S85" s="23">
        <v>6</v>
      </c>
      <c r="T85" s="23">
        <v>9</v>
      </c>
      <c r="U85" s="23">
        <v>20</v>
      </c>
      <c r="V85" s="23">
        <v>19</v>
      </c>
      <c r="W85" s="28">
        <v>22</v>
      </c>
    </row>
    <row r="86" spans="1:23" x14ac:dyDescent="0.25">
      <c r="A86" s="20">
        <v>27</v>
      </c>
      <c r="B86" s="27">
        <v>45114</v>
      </c>
      <c r="C86" s="23">
        <v>67</v>
      </c>
      <c r="D86" s="23">
        <v>0</v>
      </c>
      <c r="E86" s="23">
        <v>0</v>
      </c>
      <c r="F86" s="23">
        <v>0</v>
      </c>
      <c r="G86" s="23">
        <v>0</v>
      </c>
      <c r="H86" s="23">
        <v>0</v>
      </c>
      <c r="I86" s="23">
        <v>0</v>
      </c>
      <c r="J86" s="23">
        <v>0</v>
      </c>
      <c r="K86" s="23">
        <v>0</v>
      </c>
      <c r="L86" s="23">
        <v>0</v>
      </c>
      <c r="M86" s="23">
        <v>0</v>
      </c>
      <c r="N86" s="23">
        <v>1</v>
      </c>
      <c r="O86" s="23">
        <v>0</v>
      </c>
      <c r="P86" s="23">
        <v>0</v>
      </c>
      <c r="Q86" s="23">
        <v>2</v>
      </c>
      <c r="R86" s="23">
        <v>3</v>
      </c>
      <c r="S86" s="23">
        <v>9</v>
      </c>
      <c r="T86" s="23">
        <v>13</v>
      </c>
      <c r="U86" s="23">
        <v>8</v>
      </c>
      <c r="V86" s="23">
        <v>19</v>
      </c>
      <c r="W86" s="28">
        <v>12</v>
      </c>
    </row>
    <row r="87" spans="1:23" x14ac:dyDescent="0.25">
      <c r="A87" s="20">
        <v>28</v>
      </c>
      <c r="B87" s="27">
        <v>45121</v>
      </c>
      <c r="C87" s="23">
        <v>51</v>
      </c>
      <c r="D87" s="23">
        <v>0</v>
      </c>
      <c r="E87" s="23">
        <v>0</v>
      </c>
      <c r="F87" s="23">
        <v>1</v>
      </c>
      <c r="G87" s="23">
        <v>0</v>
      </c>
      <c r="H87" s="23">
        <v>0</v>
      </c>
      <c r="I87" s="23">
        <v>0</v>
      </c>
      <c r="J87" s="23">
        <v>0</v>
      </c>
      <c r="K87" s="23">
        <v>0</v>
      </c>
      <c r="L87" s="23">
        <v>0</v>
      </c>
      <c r="M87" s="23">
        <v>1</v>
      </c>
      <c r="N87" s="23">
        <v>1</v>
      </c>
      <c r="O87" s="23">
        <v>0</v>
      </c>
      <c r="P87" s="23">
        <v>3</v>
      </c>
      <c r="Q87" s="23">
        <v>0</v>
      </c>
      <c r="R87" s="23">
        <v>3</v>
      </c>
      <c r="S87" s="23">
        <v>5</v>
      </c>
      <c r="T87" s="23">
        <v>5</v>
      </c>
      <c r="U87" s="23">
        <v>9</v>
      </c>
      <c r="V87" s="23">
        <v>15</v>
      </c>
      <c r="W87" s="28">
        <v>8</v>
      </c>
    </row>
    <row r="88" spans="1:23" x14ac:dyDescent="0.25">
      <c r="A88" s="20">
        <v>29</v>
      </c>
      <c r="B88" s="27">
        <v>45128</v>
      </c>
      <c r="C88" s="23">
        <v>55</v>
      </c>
      <c r="D88" s="23">
        <v>0</v>
      </c>
      <c r="E88" s="23">
        <v>0</v>
      </c>
      <c r="F88" s="23">
        <v>0</v>
      </c>
      <c r="G88" s="23">
        <v>0</v>
      </c>
      <c r="H88" s="23">
        <v>0</v>
      </c>
      <c r="I88" s="23">
        <v>0</v>
      </c>
      <c r="J88" s="23">
        <v>1</v>
      </c>
      <c r="K88" s="23">
        <v>0</v>
      </c>
      <c r="L88" s="23">
        <v>0</v>
      </c>
      <c r="M88" s="23">
        <v>0</v>
      </c>
      <c r="N88" s="23">
        <v>0</v>
      </c>
      <c r="O88" s="23">
        <v>5</v>
      </c>
      <c r="P88" s="23">
        <v>2</v>
      </c>
      <c r="Q88" s="23">
        <v>5</v>
      </c>
      <c r="R88" s="23">
        <v>4</v>
      </c>
      <c r="S88" s="23">
        <v>4</v>
      </c>
      <c r="T88" s="23">
        <v>8</v>
      </c>
      <c r="U88" s="23">
        <v>7</v>
      </c>
      <c r="V88" s="23">
        <v>8</v>
      </c>
      <c r="W88" s="28">
        <v>11</v>
      </c>
    </row>
    <row r="89" spans="1:23" x14ac:dyDescent="0.25">
      <c r="A89" s="20">
        <v>30</v>
      </c>
      <c r="B89" s="27">
        <v>45135</v>
      </c>
      <c r="C89" s="23">
        <v>71</v>
      </c>
      <c r="D89" s="23">
        <v>0</v>
      </c>
      <c r="E89" s="23">
        <v>0</v>
      </c>
      <c r="F89" s="23">
        <v>0</v>
      </c>
      <c r="G89" s="23">
        <v>0</v>
      </c>
      <c r="H89" s="23">
        <v>0</v>
      </c>
      <c r="I89" s="23">
        <v>0</v>
      </c>
      <c r="J89" s="23">
        <v>1</v>
      </c>
      <c r="K89" s="23">
        <v>0</v>
      </c>
      <c r="L89" s="23">
        <v>0</v>
      </c>
      <c r="M89" s="23">
        <v>0</v>
      </c>
      <c r="N89" s="23">
        <v>0</v>
      </c>
      <c r="O89" s="23">
        <v>0</v>
      </c>
      <c r="P89" s="23">
        <v>1</v>
      </c>
      <c r="Q89" s="23">
        <v>4</v>
      </c>
      <c r="R89" s="23">
        <v>4</v>
      </c>
      <c r="S89" s="23">
        <v>6</v>
      </c>
      <c r="T89" s="23">
        <v>9</v>
      </c>
      <c r="U89" s="23">
        <v>8</v>
      </c>
      <c r="V89" s="23">
        <v>20</v>
      </c>
      <c r="W89" s="28">
        <v>18</v>
      </c>
    </row>
    <row r="90" spans="1:23" x14ac:dyDescent="0.25">
      <c r="A90" s="20">
        <v>31</v>
      </c>
      <c r="B90" s="27">
        <v>45142</v>
      </c>
      <c r="C90" s="23">
        <v>81</v>
      </c>
      <c r="D90" s="23">
        <v>0</v>
      </c>
      <c r="E90" s="23">
        <v>1</v>
      </c>
      <c r="F90" s="23">
        <v>0</v>
      </c>
      <c r="G90" s="23">
        <v>0</v>
      </c>
      <c r="H90" s="23">
        <v>0</v>
      </c>
      <c r="I90" s="23">
        <v>0</v>
      </c>
      <c r="J90" s="23">
        <v>1</v>
      </c>
      <c r="K90" s="23">
        <v>0</v>
      </c>
      <c r="L90" s="23">
        <v>0</v>
      </c>
      <c r="M90" s="23">
        <v>0</v>
      </c>
      <c r="N90" s="23">
        <v>0</v>
      </c>
      <c r="O90" s="23">
        <v>1</v>
      </c>
      <c r="P90" s="23">
        <v>2</v>
      </c>
      <c r="Q90" s="23">
        <v>2</v>
      </c>
      <c r="R90" s="23">
        <v>2</v>
      </c>
      <c r="S90" s="23">
        <v>10</v>
      </c>
      <c r="T90" s="23">
        <v>12</v>
      </c>
      <c r="U90" s="23">
        <v>13</v>
      </c>
      <c r="V90" s="23">
        <v>22</v>
      </c>
      <c r="W90" s="28">
        <v>15</v>
      </c>
    </row>
    <row r="91" spans="1:23" x14ac:dyDescent="0.25">
      <c r="A91" s="20">
        <v>32</v>
      </c>
      <c r="B91" s="27">
        <v>45149</v>
      </c>
      <c r="C91" s="23">
        <v>115</v>
      </c>
      <c r="D91" s="23">
        <v>0</v>
      </c>
      <c r="E91" s="23">
        <v>0</v>
      </c>
      <c r="F91" s="23">
        <v>0</v>
      </c>
      <c r="G91" s="23">
        <v>0</v>
      </c>
      <c r="H91" s="23">
        <v>0</v>
      </c>
      <c r="I91" s="23">
        <v>0</v>
      </c>
      <c r="J91" s="23">
        <v>0</v>
      </c>
      <c r="K91" s="23">
        <v>0</v>
      </c>
      <c r="L91" s="23">
        <v>0</v>
      </c>
      <c r="M91" s="23">
        <v>1</v>
      </c>
      <c r="N91" s="23">
        <v>0</v>
      </c>
      <c r="O91" s="23">
        <v>6</v>
      </c>
      <c r="P91" s="23">
        <v>1</v>
      </c>
      <c r="Q91" s="23">
        <v>1</v>
      </c>
      <c r="R91" s="23">
        <v>3</v>
      </c>
      <c r="S91" s="23">
        <v>8</v>
      </c>
      <c r="T91" s="23">
        <v>23</v>
      </c>
      <c r="U91" s="23">
        <v>20</v>
      </c>
      <c r="V91" s="23">
        <v>25</v>
      </c>
      <c r="W91" s="28">
        <v>27</v>
      </c>
    </row>
    <row r="92" spans="1:23" x14ac:dyDescent="0.25">
      <c r="A92" s="20">
        <v>33</v>
      </c>
      <c r="B92" s="27">
        <v>45156</v>
      </c>
      <c r="C92" s="23">
        <v>161</v>
      </c>
      <c r="D92" s="23">
        <v>0</v>
      </c>
      <c r="E92" s="23">
        <v>0</v>
      </c>
      <c r="F92" s="23">
        <v>0</v>
      </c>
      <c r="G92" s="23">
        <v>0</v>
      </c>
      <c r="H92" s="23">
        <v>0</v>
      </c>
      <c r="I92" s="23">
        <v>0</v>
      </c>
      <c r="J92" s="23">
        <v>0</v>
      </c>
      <c r="K92" s="23">
        <v>0</v>
      </c>
      <c r="L92" s="23">
        <v>0</v>
      </c>
      <c r="M92" s="23">
        <v>0</v>
      </c>
      <c r="N92" s="23">
        <v>2</v>
      </c>
      <c r="O92" s="23">
        <v>1</v>
      </c>
      <c r="P92" s="23">
        <v>1</v>
      </c>
      <c r="Q92" s="23">
        <v>4</v>
      </c>
      <c r="R92" s="23">
        <v>10</v>
      </c>
      <c r="S92" s="23">
        <v>22</v>
      </c>
      <c r="T92" s="23">
        <v>21</v>
      </c>
      <c r="U92" s="23">
        <v>31</v>
      </c>
      <c r="V92" s="23">
        <v>30</v>
      </c>
      <c r="W92" s="28">
        <v>39</v>
      </c>
    </row>
    <row r="93" spans="1:23" x14ac:dyDescent="0.25">
      <c r="A93" s="20">
        <v>34</v>
      </c>
      <c r="B93" s="27">
        <v>45163</v>
      </c>
      <c r="C93" s="23">
        <v>183</v>
      </c>
      <c r="D93" s="23">
        <v>0</v>
      </c>
      <c r="E93" s="23">
        <v>0</v>
      </c>
      <c r="F93" s="23">
        <v>0</v>
      </c>
      <c r="G93" s="23">
        <v>0</v>
      </c>
      <c r="H93" s="23">
        <v>0</v>
      </c>
      <c r="I93" s="23">
        <v>0</v>
      </c>
      <c r="J93" s="23">
        <v>0</v>
      </c>
      <c r="K93" s="23">
        <v>0</v>
      </c>
      <c r="L93" s="23">
        <v>0</v>
      </c>
      <c r="M93" s="23">
        <v>0</v>
      </c>
      <c r="N93" s="23">
        <v>1</v>
      </c>
      <c r="O93" s="23">
        <v>1</v>
      </c>
      <c r="P93" s="23">
        <v>3</v>
      </c>
      <c r="Q93" s="23">
        <v>8</v>
      </c>
      <c r="R93" s="23">
        <v>12</v>
      </c>
      <c r="S93" s="23">
        <v>21</v>
      </c>
      <c r="T93" s="23">
        <v>21</v>
      </c>
      <c r="U93" s="23">
        <v>38</v>
      </c>
      <c r="V93" s="23">
        <v>35</v>
      </c>
      <c r="W93" s="28">
        <v>43</v>
      </c>
    </row>
    <row r="94" spans="1:23" x14ac:dyDescent="0.25">
      <c r="A94" s="20">
        <v>35</v>
      </c>
      <c r="B94" s="27">
        <v>45170</v>
      </c>
      <c r="C94" s="23">
        <v>121</v>
      </c>
      <c r="D94" s="23">
        <v>0</v>
      </c>
      <c r="E94" s="23">
        <v>0</v>
      </c>
      <c r="F94" s="23">
        <v>0</v>
      </c>
      <c r="G94" s="23">
        <v>0</v>
      </c>
      <c r="H94" s="23">
        <v>0</v>
      </c>
      <c r="I94" s="23">
        <v>0</v>
      </c>
      <c r="J94" s="23">
        <v>0</v>
      </c>
      <c r="K94" s="23">
        <v>0</v>
      </c>
      <c r="L94" s="23">
        <v>0</v>
      </c>
      <c r="M94" s="23">
        <v>0</v>
      </c>
      <c r="N94" s="23">
        <v>0</v>
      </c>
      <c r="O94" s="23">
        <v>1</v>
      </c>
      <c r="P94" s="23">
        <v>3</v>
      </c>
      <c r="Q94" s="23">
        <v>8</v>
      </c>
      <c r="R94" s="23">
        <v>6</v>
      </c>
      <c r="S94" s="23">
        <v>11</v>
      </c>
      <c r="T94" s="23">
        <v>21</v>
      </c>
      <c r="U94" s="23">
        <v>22</v>
      </c>
      <c r="V94" s="23">
        <v>27</v>
      </c>
      <c r="W94" s="28">
        <v>22</v>
      </c>
    </row>
    <row r="95" spans="1:23" x14ac:dyDescent="0.25">
      <c r="A95" s="10"/>
      <c r="B95" s="10"/>
      <c r="C95" s="10"/>
      <c r="D95" s="10"/>
      <c r="E95" s="10"/>
      <c r="F95" s="10"/>
      <c r="G95" s="10"/>
      <c r="H95" s="10"/>
      <c r="I95" s="10"/>
      <c r="J95" s="10"/>
      <c r="K95" s="10"/>
      <c r="L95" s="10"/>
      <c r="M95" s="10"/>
      <c r="N95" s="10"/>
      <c r="O95" s="10"/>
      <c r="P95" s="10"/>
      <c r="Q95" s="10"/>
      <c r="R95" s="10"/>
      <c r="S95" s="10"/>
      <c r="T95" s="10"/>
      <c r="U95" s="10"/>
      <c r="V95" s="10"/>
      <c r="W95" s="10"/>
    </row>
    <row r="96" spans="1:23" ht="15.6" x14ac:dyDescent="0.3">
      <c r="A96" s="3" t="s">
        <v>171</v>
      </c>
    </row>
    <row r="97" spans="1:23" ht="15.6" x14ac:dyDescent="0.25">
      <c r="A97" s="12" t="s">
        <v>116</v>
      </c>
      <c r="B97" s="11" t="s">
        <v>131</v>
      </c>
      <c r="C97" s="21" t="s">
        <v>132</v>
      </c>
      <c r="D97" s="21" t="s">
        <v>133</v>
      </c>
      <c r="E97" s="21" t="s">
        <v>134</v>
      </c>
      <c r="F97" s="21" t="s">
        <v>135</v>
      </c>
      <c r="G97" s="21" t="s">
        <v>136</v>
      </c>
      <c r="H97" s="21" t="s">
        <v>137</v>
      </c>
      <c r="I97" s="21" t="s">
        <v>138</v>
      </c>
      <c r="J97" s="21" t="s">
        <v>139</v>
      </c>
      <c r="K97" s="21" t="s">
        <v>140</v>
      </c>
      <c r="L97" s="21" t="s">
        <v>141</v>
      </c>
      <c r="M97" s="21" t="s">
        <v>142</v>
      </c>
      <c r="N97" s="21" t="s">
        <v>143</v>
      </c>
      <c r="O97" s="21" t="s">
        <v>144</v>
      </c>
      <c r="P97" s="21" t="s">
        <v>145</v>
      </c>
      <c r="Q97" s="21" t="s">
        <v>146</v>
      </c>
      <c r="R97" s="21" t="s">
        <v>147</v>
      </c>
      <c r="S97" s="21" t="s">
        <v>148</v>
      </c>
      <c r="T97" s="21" t="s">
        <v>149</v>
      </c>
      <c r="U97" s="21" t="s">
        <v>150</v>
      </c>
      <c r="V97" s="21" t="s">
        <v>151</v>
      </c>
      <c r="W97" s="24" t="s">
        <v>152</v>
      </c>
    </row>
    <row r="98" spans="1:23" x14ac:dyDescent="0.25">
      <c r="A98" s="19">
        <v>1</v>
      </c>
      <c r="B98" s="25">
        <v>44568</v>
      </c>
      <c r="C98" s="22">
        <v>694</v>
      </c>
      <c r="D98" s="22">
        <v>0</v>
      </c>
      <c r="E98" s="22">
        <v>1</v>
      </c>
      <c r="F98" s="22">
        <v>0</v>
      </c>
      <c r="G98" s="22">
        <v>0</v>
      </c>
      <c r="H98" s="22">
        <v>0</v>
      </c>
      <c r="I98" s="22">
        <v>2</v>
      </c>
      <c r="J98" s="22">
        <v>2</v>
      </c>
      <c r="K98" s="22">
        <v>5</v>
      </c>
      <c r="L98" s="22">
        <v>9</v>
      </c>
      <c r="M98" s="22">
        <v>10</v>
      </c>
      <c r="N98" s="22">
        <v>12</v>
      </c>
      <c r="O98" s="22">
        <v>23</v>
      </c>
      <c r="P98" s="22">
        <v>33</v>
      </c>
      <c r="Q98" s="22">
        <v>45</v>
      </c>
      <c r="R98" s="22">
        <v>52</v>
      </c>
      <c r="S98" s="22">
        <v>87</v>
      </c>
      <c r="T98" s="22">
        <v>98</v>
      </c>
      <c r="U98" s="22">
        <v>117</v>
      </c>
      <c r="V98" s="22">
        <v>109</v>
      </c>
      <c r="W98" s="26">
        <v>89</v>
      </c>
    </row>
    <row r="99" spans="1:23" x14ac:dyDescent="0.25">
      <c r="A99" s="20">
        <v>2</v>
      </c>
      <c r="B99" s="27">
        <v>44575</v>
      </c>
      <c r="C99" s="23">
        <v>861</v>
      </c>
      <c r="D99" s="23">
        <v>3</v>
      </c>
      <c r="E99" s="23">
        <v>0</v>
      </c>
      <c r="F99" s="23">
        <v>0</v>
      </c>
      <c r="G99" s="23">
        <v>0</v>
      </c>
      <c r="H99" s="23">
        <v>2</v>
      </c>
      <c r="I99" s="23">
        <v>2</v>
      </c>
      <c r="J99" s="23">
        <v>1</v>
      </c>
      <c r="K99" s="23">
        <v>4</v>
      </c>
      <c r="L99" s="23">
        <v>6</v>
      </c>
      <c r="M99" s="23">
        <v>3</v>
      </c>
      <c r="N99" s="23">
        <v>10</v>
      </c>
      <c r="O99" s="23">
        <v>25</v>
      </c>
      <c r="P99" s="23">
        <v>31</v>
      </c>
      <c r="Q99" s="23">
        <v>40</v>
      </c>
      <c r="R99" s="23">
        <v>74</v>
      </c>
      <c r="S99" s="23">
        <v>79</v>
      </c>
      <c r="T99" s="23">
        <v>124</v>
      </c>
      <c r="U99" s="23">
        <v>119</v>
      </c>
      <c r="V99" s="23">
        <v>171</v>
      </c>
      <c r="W99" s="28">
        <v>167</v>
      </c>
    </row>
    <row r="100" spans="1:23" x14ac:dyDescent="0.25">
      <c r="A100" s="20">
        <v>3</v>
      </c>
      <c r="B100" s="27">
        <v>44582</v>
      </c>
      <c r="C100" s="23">
        <v>816</v>
      </c>
      <c r="D100" s="23">
        <v>0</v>
      </c>
      <c r="E100" s="23">
        <v>0</v>
      </c>
      <c r="F100" s="23">
        <v>0</v>
      </c>
      <c r="G100" s="23">
        <v>1</v>
      </c>
      <c r="H100" s="23">
        <v>1</v>
      </c>
      <c r="I100" s="23">
        <v>1</v>
      </c>
      <c r="J100" s="23">
        <v>0</v>
      </c>
      <c r="K100" s="23">
        <v>6</v>
      </c>
      <c r="L100" s="23">
        <v>2</v>
      </c>
      <c r="M100" s="23">
        <v>9</v>
      </c>
      <c r="N100" s="23">
        <v>10</v>
      </c>
      <c r="O100" s="23">
        <v>19</v>
      </c>
      <c r="P100" s="23">
        <v>27</v>
      </c>
      <c r="Q100" s="23">
        <v>39</v>
      </c>
      <c r="R100" s="23">
        <v>55</v>
      </c>
      <c r="S100" s="23">
        <v>100</v>
      </c>
      <c r="T100" s="23">
        <v>95</v>
      </c>
      <c r="U100" s="23">
        <v>137</v>
      </c>
      <c r="V100" s="23">
        <v>146</v>
      </c>
      <c r="W100" s="28">
        <v>168</v>
      </c>
    </row>
    <row r="101" spans="1:23" x14ac:dyDescent="0.25">
      <c r="A101" s="20">
        <v>4</v>
      </c>
      <c r="B101" s="27">
        <v>44589</v>
      </c>
      <c r="C101" s="23">
        <v>730</v>
      </c>
      <c r="D101" s="23">
        <v>0</v>
      </c>
      <c r="E101" s="23">
        <v>0</v>
      </c>
      <c r="F101" s="23">
        <v>0</v>
      </c>
      <c r="G101" s="23">
        <v>0</v>
      </c>
      <c r="H101" s="23">
        <v>1</v>
      </c>
      <c r="I101" s="23">
        <v>0</v>
      </c>
      <c r="J101" s="23">
        <v>1</v>
      </c>
      <c r="K101" s="23">
        <v>1</v>
      </c>
      <c r="L101" s="23">
        <v>1</v>
      </c>
      <c r="M101" s="23">
        <v>5</v>
      </c>
      <c r="N101" s="23">
        <v>14</v>
      </c>
      <c r="O101" s="23">
        <v>13</v>
      </c>
      <c r="P101" s="23">
        <v>25</v>
      </c>
      <c r="Q101" s="23">
        <v>44</v>
      </c>
      <c r="R101" s="23">
        <v>36</v>
      </c>
      <c r="S101" s="23">
        <v>66</v>
      </c>
      <c r="T101" s="23">
        <v>96</v>
      </c>
      <c r="U101" s="23">
        <v>140</v>
      </c>
      <c r="V101" s="23">
        <v>153</v>
      </c>
      <c r="W101" s="28">
        <v>134</v>
      </c>
    </row>
    <row r="102" spans="1:23" x14ac:dyDescent="0.25">
      <c r="A102" s="20">
        <v>5</v>
      </c>
      <c r="B102" s="27">
        <v>44596</v>
      </c>
      <c r="C102" s="23">
        <v>633</v>
      </c>
      <c r="D102" s="23">
        <v>0</v>
      </c>
      <c r="E102" s="23">
        <v>0</v>
      </c>
      <c r="F102" s="23">
        <v>0</v>
      </c>
      <c r="G102" s="23">
        <v>0</v>
      </c>
      <c r="H102" s="23">
        <v>0</v>
      </c>
      <c r="I102" s="23">
        <v>0</v>
      </c>
      <c r="J102" s="23">
        <v>0</v>
      </c>
      <c r="K102" s="23">
        <v>0</v>
      </c>
      <c r="L102" s="23">
        <v>1</v>
      </c>
      <c r="M102" s="23">
        <v>5</v>
      </c>
      <c r="N102" s="23">
        <v>5</v>
      </c>
      <c r="O102" s="23">
        <v>10</v>
      </c>
      <c r="P102" s="23">
        <v>13</v>
      </c>
      <c r="Q102" s="23">
        <v>36</v>
      </c>
      <c r="R102" s="23">
        <v>47</v>
      </c>
      <c r="S102" s="23">
        <v>55</v>
      </c>
      <c r="T102" s="23">
        <v>93</v>
      </c>
      <c r="U102" s="23">
        <v>118</v>
      </c>
      <c r="V102" s="23">
        <v>126</v>
      </c>
      <c r="W102" s="28">
        <v>124</v>
      </c>
    </row>
    <row r="103" spans="1:23" x14ac:dyDescent="0.25">
      <c r="A103" s="20">
        <v>6</v>
      </c>
      <c r="B103" s="27">
        <v>44603</v>
      </c>
      <c r="C103" s="23">
        <v>530</v>
      </c>
      <c r="D103" s="23">
        <v>0</v>
      </c>
      <c r="E103" s="23">
        <v>0</v>
      </c>
      <c r="F103" s="23">
        <v>0</v>
      </c>
      <c r="G103" s="23">
        <v>0</v>
      </c>
      <c r="H103" s="23">
        <v>0</v>
      </c>
      <c r="I103" s="23">
        <v>0</v>
      </c>
      <c r="J103" s="23">
        <v>0</v>
      </c>
      <c r="K103" s="23">
        <v>0</v>
      </c>
      <c r="L103" s="23">
        <v>5</v>
      </c>
      <c r="M103" s="23">
        <v>6</v>
      </c>
      <c r="N103" s="23">
        <v>6</v>
      </c>
      <c r="O103" s="23">
        <v>8</v>
      </c>
      <c r="P103" s="23">
        <v>14</v>
      </c>
      <c r="Q103" s="23">
        <v>9</v>
      </c>
      <c r="R103" s="23">
        <v>34</v>
      </c>
      <c r="S103" s="23">
        <v>39</v>
      </c>
      <c r="T103" s="23">
        <v>69</v>
      </c>
      <c r="U103" s="23">
        <v>102</v>
      </c>
      <c r="V103" s="23">
        <v>126</v>
      </c>
      <c r="W103" s="28">
        <v>112</v>
      </c>
    </row>
    <row r="104" spans="1:23" x14ac:dyDescent="0.25">
      <c r="A104" s="20">
        <v>7</v>
      </c>
      <c r="B104" s="27">
        <v>44610</v>
      </c>
      <c r="C104" s="23">
        <v>476</v>
      </c>
      <c r="D104" s="23">
        <v>0</v>
      </c>
      <c r="E104" s="23">
        <v>0</v>
      </c>
      <c r="F104" s="23">
        <v>0</v>
      </c>
      <c r="G104" s="23">
        <v>0</v>
      </c>
      <c r="H104" s="23">
        <v>0</v>
      </c>
      <c r="I104" s="23">
        <v>0</v>
      </c>
      <c r="J104" s="23">
        <v>0</v>
      </c>
      <c r="K104" s="23">
        <v>1</v>
      </c>
      <c r="L104" s="23">
        <v>1</v>
      </c>
      <c r="M104" s="23">
        <v>4</v>
      </c>
      <c r="N104" s="23">
        <v>5</v>
      </c>
      <c r="O104" s="23">
        <v>9</v>
      </c>
      <c r="P104" s="23">
        <v>11</v>
      </c>
      <c r="Q104" s="23">
        <v>13</v>
      </c>
      <c r="R104" s="23">
        <v>21</v>
      </c>
      <c r="S104" s="23">
        <v>50</v>
      </c>
      <c r="T104" s="23">
        <v>69</v>
      </c>
      <c r="U104" s="23">
        <v>79</v>
      </c>
      <c r="V104" s="23">
        <v>103</v>
      </c>
      <c r="W104" s="28">
        <v>110</v>
      </c>
    </row>
    <row r="105" spans="1:23" x14ac:dyDescent="0.25">
      <c r="A105" s="20">
        <v>8</v>
      </c>
      <c r="B105" s="27">
        <v>44617</v>
      </c>
      <c r="C105" s="23">
        <v>403</v>
      </c>
      <c r="D105" s="23">
        <v>0</v>
      </c>
      <c r="E105" s="23">
        <v>0</v>
      </c>
      <c r="F105" s="23">
        <v>0</v>
      </c>
      <c r="G105" s="23">
        <v>0</v>
      </c>
      <c r="H105" s="23">
        <v>0</v>
      </c>
      <c r="I105" s="23">
        <v>0</v>
      </c>
      <c r="J105" s="23">
        <v>1</v>
      </c>
      <c r="K105" s="23">
        <v>0</v>
      </c>
      <c r="L105" s="23">
        <v>3</v>
      </c>
      <c r="M105" s="23">
        <v>4</v>
      </c>
      <c r="N105" s="23">
        <v>2</v>
      </c>
      <c r="O105" s="23">
        <v>8</v>
      </c>
      <c r="P105" s="23">
        <v>10</v>
      </c>
      <c r="Q105" s="23">
        <v>10</v>
      </c>
      <c r="R105" s="23">
        <v>15</v>
      </c>
      <c r="S105" s="23">
        <v>36</v>
      </c>
      <c r="T105" s="23">
        <v>62</v>
      </c>
      <c r="U105" s="23">
        <v>81</v>
      </c>
      <c r="V105" s="23">
        <v>80</v>
      </c>
      <c r="W105" s="28">
        <v>91</v>
      </c>
    </row>
    <row r="106" spans="1:23" x14ac:dyDescent="0.25">
      <c r="A106" s="20">
        <v>9</v>
      </c>
      <c r="B106" s="27">
        <v>44624</v>
      </c>
      <c r="C106" s="23">
        <v>356</v>
      </c>
      <c r="D106" s="23">
        <v>0</v>
      </c>
      <c r="E106" s="23">
        <v>0</v>
      </c>
      <c r="F106" s="23">
        <v>0</v>
      </c>
      <c r="G106" s="23">
        <v>0</v>
      </c>
      <c r="H106" s="23">
        <v>0</v>
      </c>
      <c r="I106" s="23">
        <v>0</v>
      </c>
      <c r="J106" s="23">
        <v>0</v>
      </c>
      <c r="K106" s="23">
        <v>1</v>
      </c>
      <c r="L106" s="23">
        <v>2</v>
      </c>
      <c r="M106" s="23">
        <v>3</v>
      </c>
      <c r="N106" s="23">
        <v>2</v>
      </c>
      <c r="O106" s="23">
        <v>7</v>
      </c>
      <c r="P106" s="23">
        <v>7</v>
      </c>
      <c r="Q106" s="23">
        <v>18</v>
      </c>
      <c r="R106" s="23">
        <v>15</v>
      </c>
      <c r="S106" s="23">
        <v>35</v>
      </c>
      <c r="T106" s="23">
        <v>53</v>
      </c>
      <c r="U106" s="23">
        <v>57</v>
      </c>
      <c r="V106" s="23">
        <v>62</v>
      </c>
      <c r="W106" s="28">
        <v>94</v>
      </c>
    </row>
    <row r="107" spans="1:23" x14ac:dyDescent="0.25">
      <c r="A107" s="20">
        <v>10</v>
      </c>
      <c r="B107" s="27">
        <v>44631</v>
      </c>
      <c r="C107" s="23">
        <v>358</v>
      </c>
      <c r="D107" s="23">
        <v>0</v>
      </c>
      <c r="E107" s="23">
        <v>0</v>
      </c>
      <c r="F107" s="23">
        <v>0</v>
      </c>
      <c r="G107" s="23">
        <v>0</v>
      </c>
      <c r="H107" s="23">
        <v>0</v>
      </c>
      <c r="I107" s="23">
        <v>2</v>
      </c>
      <c r="J107" s="23">
        <v>0</v>
      </c>
      <c r="K107" s="23">
        <v>2</v>
      </c>
      <c r="L107" s="23">
        <v>1</v>
      </c>
      <c r="M107" s="23">
        <v>3</v>
      </c>
      <c r="N107" s="23">
        <v>2</v>
      </c>
      <c r="O107" s="23">
        <v>3</v>
      </c>
      <c r="P107" s="23">
        <v>5</v>
      </c>
      <c r="Q107" s="23">
        <v>10</v>
      </c>
      <c r="R107" s="23">
        <v>13</v>
      </c>
      <c r="S107" s="23">
        <v>31</v>
      </c>
      <c r="T107" s="23">
        <v>40</v>
      </c>
      <c r="U107" s="23">
        <v>76</v>
      </c>
      <c r="V107" s="23">
        <v>73</v>
      </c>
      <c r="W107" s="28">
        <v>97</v>
      </c>
    </row>
    <row r="108" spans="1:23" x14ac:dyDescent="0.25">
      <c r="A108" s="20">
        <v>11</v>
      </c>
      <c r="B108" s="27">
        <v>44638</v>
      </c>
      <c r="C108" s="23">
        <v>434</v>
      </c>
      <c r="D108" s="23">
        <v>0</v>
      </c>
      <c r="E108" s="23">
        <v>0</v>
      </c>
      <c r="F108" s="23">
        <v>0</v>
      </c>
      <c r="G108" s="23">
        <v>0</v>
      </c>
      <c r="H108" s="23">
        <v>0</v>
      </c>
      <c r="I108" s="23">
        <v>0</v>
      </c>
      <c r="J108" s="23">
        <v>1</v>
      </c>
      <c r="K108" s="23">
        <v>0</v>
      </c>
      <c r="L108" s="23">
        <v>0</v>
      </c>
      <c r="M108" s="23">
        <v>3</v>
      </c>
      <c r="N108" s="23">
        <v>5</v>
      </c>
      <c r="O108" s="23">
        <v>8</v>
      </c>
      <c r="P108" s="23">
        <v>11</v>
      </c>
      <c r="Q108" s="23">
        <v>11</v>
      </c>
      <c r="R108" s="23">
        <v>20</v>
      </c>
      <c r="S108" s="23">
        <v>37</v>
      </c>
      <c r="T108" s="23">
        <v>62</v>
      </c>
      <c r="U108" s="23">
        <v>75</v>
      </c>
      <c r="V108" s="23">
        <v>107</v>
      </c>
      <c r="W108" s="28">
        <v>94</v>
      </c>
    </row>
    <row r="109" spans="1:23" x14ac:dyDescent="0.25">
      <c r="A109" s="20">
        <v>12</v>
      </c>
      <c r="B109" s="27">
        <v>44645</v>
      </c>
      <c r="C109" s="23">
        <v>494</v>
      </c>
      <c r="D109" s="23">
        <v>0</v>
      </c>
      <c r="E109" s="23">
        <v>1</v>
      </c>
      <c r="F109" s="23">
        <v>0</v>
      </c>
      <c r="G109" s="23">
        <v>0</v>
      </c>
      <c r="H109" s="23">
        <v>0</v>
      </c>
      <c r="I109" s="23">
        <v>1</v>
      </c>
      <c r="J109" s="23">
        <v>2</v>
      </c>
      <c r="K109" s="23">
        <v>2</v>
      </c>
      <c r="L109" s="23">
        <v>1</v>
      </c>
      <c r="M109" s="23">
        <v>2</v>
      </c>
      <c r="N109" s="23">
        <v>1</v>
      </c>
      <c r="O109" s="23">
        <v>10</v>
      </c>
      <c r="P109" s="23">
        <v>11</v>
      </c>
      <c r="Q109" s="23">
        <v>13</v>
      </c>
      <c r="R109" s="23">
        <v>23</v>
      </c>
      <c r="S109" s="23">
        <v>47</v>
      </c>
      <c r="T109" s="23">
        <v>68</v>
      </c>
      <c r="U109" s="23">
        <v>87</v>
      </c>
      <c r="V109" s="23">
        <v>96</v>
      </c>
      <c r="W109" s="28">
        <v>129</v>
      </c>
    </row>
    <row r="110" spans="1:23" x14ac:dyDescent="0.25">
      <c r="A110" s="20">
        <v>13</v>
      </c>
      <c r="B110" s="27">
        <v>44652</v>
      </c>
      <c r="C110" s="23">
        <v>541</v>
      </c>
      <c r="D110" s="23">
        <v>0</v>
      </c>
      <c r="E110" s="23">
        <v>1</v>
      </c>
      <c r="F110" s="23">
        <v>0</v>
      </c>
      <c r="G110" s="23">
        <v>0</v>
      </c>
      <c r="H110" s="23">
        <v>0</v>
      </c>
      <c r="I110" s="23">
        <v>1</v>
      </c>
      <c r="J110" s="23">
        <v>0</v>
      </c>
      <c r="K110" s="23">
        <v>0</v>
      </c>
      <c r="L110" s="23">
        <v>2</v>
      </c>
      <c r="M110" s="23">
        <v>2</v>
      </c>
      <c r="N110" s="23">
        <v>6</v>
      </c>
      <c r="O110" s="23">
        <v>2</v>
      </c>
      <c r="P110" s="23">
        <v>9</v>
      </c>
      <c r="Q110" s="23">
        <v>15</v>
      </c>
      <c r="R110" s="23">
        <v>24</v>
      </c>
      <c r="S110" s="23">
        <v>42</v>
      </c>
      <c r="T110" s="23">
        <v>90</v>
      </c>
      <c r="U110" s="23">
        <v>102</v>
      </c>
      <c r="V110" s="23">
        <v>126</v>
      </c>
      <c r="W110" s="28">
        <v>119</v>
      </c>
    </row>
    <row r="111" spans="1:23" x14ac:dyDescent="0.25">
      <c r="A111" s="20">
        <v>14</v>
      </c>
      <c r="B111" s="27">
        <v>44659</v>
      </c>
      <c r="C111" s="23">
        <v>648</v>
      </c>
      <c r="D111" s="23">
        <v>0</v>
      </c>
      <c r="E111" s="23">
        <v>0</v>
      </c>
      <c r="F111" s="23">
        <v>0</v>
      </c>
      <c r="G111" s="23">
        <v>0</v>
      </c>
      <c r="H111" s="23">
        <v>0</v>
      </c>
      <c r="I111" s="23">
        <v>1</v>
      </c>
      <c r="J111" s="23">
        <v>2</v>
      </c>
      <c r="K111" s="23">
        <v>0</v>
      </c>
      <c r="L111" s="23">
        <v>1</v>
      </c>
      <c r="M111" s="23">
        <v>3</v>
      </c>
      <c r="N111" s="23">
        <v>3</v>
      </c>
      <c r="O111" s="23">
        <v>1</v>
      </c>
      <c r="P111" s="23">
        <v>13</v>
      </c>
      <c r="Q111" s="23">
        <v>21</v>
      </c>
      <c r="R111" s="23">
        <v>35</v>
      </c>
      <c r="S111" s="23">
        <v>59</v>
      </c>
      <c r="T111" s="23">
        <v>88</v>
      </c>
      <c r="U111" s="23">
        <v>119</v>
      </c>
      <c r="V111" s="23">
        <v>140</v>
      </c>
      <c r="W111" s="28">
        <v>162</v>
      </c>
    </row>
    <row r="112" spans="1:23" x14ac:dyDescent="0.25">
      <c r="A112" s="20">
        <v>15</v>
      </c>
      <c r="B112" s="27">
        <v>44666</v>
      </c>
      <c r="C112" s="23">
        <v>621</v>
      </c>
      <c r="D112" s="23">
        <v>0</v>
      </c>
      <c r="E112" s="23">
        <v>0</v>
      </c>
      <c r="F112" s="23">
        <v>0</v>
      </c>
      <c r="G112" s="23">
        <v>0</v>
      </c>
      <c r="H112" s="23">
        <v>0</v>
      </c>
      <c r="I112" s="23">
        <v>1</v>
      </c>
      <c r="J112" s="23">
        <v>0</v>
      </c>
      <c r="K112" s="23">
        <v>0</v>
      </c>
      <c r="L112" s="23">
        <v>2</v>
      </c>
      <c r="M112" s="23">
        <v>3</v>
      </c>
      <c r="N112" s="23">
        <v>2</v>
      </c>
      <c r="O112" s="23">
        <v>7</v>
      </c>
      <c r="P112" s="23">
        <v>10</v>
      </c>
      <c r="Q112" s="23">
        <v>20</v>
      </c>
      <c r="R112" s="23">
        <v>18</v>
      </c>
      <c r="S112" s="23">
        <v>44</v>
      </c>
      <c r="T112" s="23">
        <v>94</v>
      </c>
      <c r="U112" s="23">
        <v>137</v>
      </c>
      <c r="V112" s="23">
        <v>141</v>
      </c>
      <c r="W112" s="28">
        <v>142</v>
      </c>
    </row>
    <row r="113" spans="1:23" x14ac:dyDescent="0.25">
      <c r="A113" s="20">
        <v>16</v>
      </c>
      <c r="B113" s="27">
        <v>44673</v>
      </c>
      <c r="C113" s="23">
        <v>526</v>
      </c>
      <c r="D113" s="23">
        <v>0</v>
      </c>
      <c r="E113" s="23">
        <v>0</v>
      </c>
      <c r="F113" s="23">
        <v>0</v>
      </c>
      <c r="G113" s="23">
        <v>0</v>
      </c>
      <c r="H113" s="23">
        <v>1</v>
      </c>
      <c r="I113" s="23">
        <v>0</v>
      </c>
      <c r="J113" s="23">
        <v>1</v>
      </c>
      <c r="K113" s="23">
        <v>1</v>
      </c>
      <c r="L113" s="23">
        <v>0</v>
      </c>
      <c r="M113" s="23">
        <v>1</v>
      </c>
      <c r="N113" s="23">
        <v>4</v>
      </c>
      <c r="O113" s="23">
        <v>7</v>
      </c>
      <c r="P113" s="23">
        <v>19</v>
      </c>
      <c r="Q113" s="23">
        <v>13</v>
      </c>
      <c r="R113" s="23">
        <v>26</v>
      </c>
      <c r="S113" s="23">
        <v>47</v>
      </c>
      <c r="T113" s="23">
        <v>95</v>
      </c>
      <c r="U113" s="23">
        <v>88</v>
      </c>
      <c r="V113" s="23">
        <v>116</v>
      </c>
      <c r="W113" s="28">
        <v>107</v>
      </c>
    </row>
    <row r="114" spans="1:23" x14ac:dyDescent="0.25">
      <c r="A114" s="20">
        <v>17</v>
      </c>
      <c r="B114" s="27">
        <v>44680</v>
      </c>
      <c r="C114" s="23">
        <v>447</v>
      </c>
      <c r="D114" s="23">
        <v>0</v>
      </c>
      <c r="E114" s="23">
        <v>0</v>
      </c>
      <c r="F114" s="23">
        <v>1</v>
      </c>
      <c r="G114" s="23">
        <v>0</v>
      </c>
      <c r="H114" s="23">
        <v>0</v>
      </c>
      <c r="I114" s="23">
        <v>0</v>
      </c>
      <c r="J114" s="23">
        <v>0</v>
      </c>
      <c r="K114" s="23">
        <v>0</v>
      </c>
      <c r="L114" s="23">
        <v>1</v>
      </c>
      <c r="M114" s="23">
        <v>6</v>
      </c>
      <c r="N114" s="23">
        <v>0</v>
      </c>
      <c r="O114" s="23">
        <v>1</v>
      </c>
      <c r="P114" s="23">
        <v>9</v>
      </c>
      <c r="Q114" s="23">
        <v>18</v>
      </c>
      <c r="R114" s="23">
        <v>28</v>
      </c>
      <c r="S114" s="23">
        <v>33</v>
      </c>
      <c r="T114" s="23">
        <v>70</v>
      </c>
      <c r="U114" s="23">
        <v>76</v>
      </c>
      <c r="V114" s="23">
        <v>101</v>
      </c>
      <c r="W114" s="28">
        <v>103</v>
      </c>
    </row>
    <row r="115" spans="1:23" x14ac:dyDescent="0.25">
      <c r="A115" s="20">
        <v>18</v>
      </c>
      <c r="B115" s="27">
        <v>44687</v>
      </c>
      <c r="C115" s="23">
        <v>339</v>
      </c>
      <c r="D115" s="23">
        <v>0</v>
      </c>
      <c r="E115" s="23">
        <v>0</v>
      </c>
      <c r="F115" s="23">
        <v>0</v>
      </c>
      <c r="G115" s="23">
        <v>0</v>
      </c>
      <c r="H115" s="23">
        <v>0</v>
      </c>
      <c r="I115" s="23">
        <v>0</v>
      </c>
      <c r="J115" s="23">
        <v>0</v>
      </c>
      <c r="K115" s="23">
        <v>0</v>
      </c>
      <c r="L115" s="23">
        <v>1</v>
      </c>
      <c r="M115" s="23">
        <v>1</v>
      </c>
      <c r="N115" s="23">
        <v>4</v>
      </c>
      <c r="O115" s="23">
        <v>5</v>
      </c>
      <c r="P115" s="23">
        <v>11</v>
      </c>
      <c r="Q115" s="23">
        <v>11</v>
      </c>
      <c r="R115" s="23">
        <v>17</v>
      </c>
      <c r="S115" s="23">
        <v>27</v>
      </c>
      <c r="T115" s="23">
        <v>57</v>
      </c>
      <c r="U115" s="23">
        <v>62</v>
      </c>
      <c r="V115" s="23">
        <v>78</v>
      </c>
      <c r="W115" s="28">
        <v>65</v>
      </c>
    </row>
    <row r="116" spans="1:23" x14ac:dyDescent="0.25">
      <c r="A116" s="20">
        <v>19</v>
      </c>
      <c r="B116" s="27">
        <v>44694</v>
      </c>
      <c r="C116" s="23">
        <v>279</v>
      </c>
      <c r="D116" s="23">
        <v>0</v>
      </c>
      <c r="E116" s="23">
        <v>0</v>
      </c>
      <c r="F116" s="23">
        <v>0</v>
      </c>
      <c r="G116" s="23">
        <v>0</v>
      </c>
      <c r="H116" s="23">
        <v>0</v>
      </c>
      <c r="I116" s="23">
        <v>0</v>
      </c>
      <c r="J116" s="23">
        <v>0</v>
      </c>
      <c r="K116" s="23">
        <v>0</v>
      </c>
      <c r="L116" s="23">
        <v>0</v>
      </c>
      <c r="M116" s="23">
        <v>1</v>
      </c>
      <c r="N116" s="23">
        <v>3</v>
      </c>
      <c r="O116" s="23">
        <v>3</v>
      </c>
      <c r="P116" s="23">
        <v>9</v>
      </c>
      <c r="Q116" s="23">
        <v>6</v>
      </c>
      <c r="R116" s="23">
        <v>27</v>
      </c>
      <c r="S116" s="23">
        <v>26</v>
      </c>
      <c r="T116" s="23">
        <v>34</v>
      </c>
      <c r="U116" s="23">
        <v>48</v>
      </c>
      <c r="V116" s="23">
        <v>50</v>
      </c>
      <c r="W116" s="28">
        <v>72</v>
      </c>
    </row>
    <row r="117" spans="1:23" x14ac:dyDescent="0.25">
      <c r="A117" s="20">
        <v>20</v>
      </c>
      <c r="B117" s="27">
        <v>44701</v>
      </c>
      <c r="C117" s="23">
        <v>199</v>
      </c>
      <c r="D117" s="23">
        <v>0</v>
      </c>
      <c r="E117" s="23">
        <v>1</v>
      </c>
      <c r="F117" s="23">
        <v>0</v>
      </c>
      <c r="G117" s="23">
        <v>0</v>
      </c>
      <c r="H117" s="23">
        <v>0</v>
      </c>
      <c r="I117" s="23">
        <v>0</v>
      </c>
      <c r="J117" s="23">
        <v>1</v>
      </c>
      <c r="K117" s="23">
        <v>1</v>
      </c>
      <c r="L117" s="23">
        <v>1</v>
      </c>
      <c r="M117" s="23">
        <v>2</v>
      </c>
      <c r="N117" s="23">
        <v>2</v>
      </c>
      <c r="O117" s="23">
        <v>2</v>
      </c>
      <c r="P117" s="23">
        <v>1</v>
      </c>
      <c r="Q117" s="23">
        <v>5</v>
      </c>
      <c r="R117" s="23">
        <v>12</v>
      </c>
      <c r="S117" s="23">
        <v>22</v>
      </c>
      <c r="T117" s="23">
        <v>23</v>
      </c>
      <c r="U117" s="23">
        <v>38</v>
      </c>
      <c r="V117" s="23">
        <v>48</v>
      </c>
      <c r="W117" s="28">
        <v>40</v>
      </c>
    </row>
    <row r="118" spans="1:23" x14ac:dyDescent="0.25">
      <c r="A118" s="20">
        <v>21</v>
      </c>
      <c r="B118" s="27">
        <v>44708</v>
      </c>
      <c r="C118" s="23">
        <v>155</v>
      </c>
      <c r="D118" s="23">
        <v>0</v>
      </c>
      <c r="E118" s="23">
        <v>0</v>
      </c>
      <c r="F118" s="23">
        <v>0</v>
      </c>
      <c r="G118" s="23">
        <v>0</v>
      </c>
      <c r="H118" s="23">
        <v>0</v>
      </c>
      <c r="I118" s="23">
        <v>1</v>
      </c>
      <c r="J118" s="23">
        <v>1</v>
      </c>
      <c r="K118" s="23">
        <v>0</v>
      </c>
      <c r="L118" s="23">
        <v>2</v>
      </c>
      <c r="M118" s="23">
        <v>2</v>
      </c>
      <c r="N118" s="23">
        <v>2</v>
      </c>
      <c r="O118" s="23">
        <v>1</v>
      </c>
      <c r="P118" s="23">
        <v>4</v>
      </c>
      <c r="Q118" s="23">
        <v>5</v>
      </c>
      <c r="R118" s="23">
        <v>11</v>
      </c>
      <c r="S118" s="23">
        <v>13</v>
      </c>
      <c r="T118" s="23">
        <v>26</v>
      </c>
      <c r="U118" s="23">
        <v>29</v>
      </c>
      <c r="V118" s="23">
        <v>29</v>
      </c>
      <c r="W118" s="28">
        <v>29</v>
      </c>
    </row>
    <row r="119" spans="1:23" x14ac:dyDescent="0.25">
      <c r="A119" s="20">
        <v>22</v>
      </c>
      <c r="B119" s="27">
        <v>44715</v>
      </c>
      <c r="C119" s="23">
        <v>138</v>
      </c>
      <c r="D119" s="23">
        <v>0</v>
      </c>
      <c r="E119" s="23">
        <v>0</v>
      </c>
      <c r="F119" s="23">
        <v>0</v>
      </c>
      <c r="G119" s="23">
        <v>0</v>
      </c>
      <c r="H119" s="23">
        <v>0</v>
      </c>
      <c r="I119" s="23">
        <v>1</v>
      </c>
      <c r="J119" s="23">
        <v>0</v>
      </c>
      <c r="K119" s="23">
        <v>1</v>
      </c>
      <c r="L119" s="23">
        <v>1</v>
      </c>
      <c r="M119" s="23">
        <v>0</v>
      </c>
      <c r="N119" s="23">
        <v>1</v>
      </c>
      <c r="O119" s="23">
        <v>4</v>
      </c>
      <c r="P119" s="23">
        <v>2</v>
      </c>
      <c r="Q119" s="23">
        <v>6</v>
      </c>
      <c r="R119" s="23">
        <v>4</v>
      </c>
      <c r="S119" s="23">
        <v>14</v>
      </c>
      <c r="T119" s="23">
        <v>20</v>
      </c>
      <c r="U119" s="23">
        <v>24</v>
      </c>
      <c r="V119" s="23">
        <v>28</v>
      </c>
      <c r="W119" s="28">
        <v>32</v>
      </c>
    </row>
    <row r="120" spans="1:23" x14ac:dyDescent="0.25">
      <c r="A120" s="20">
        <v>23</v>
      </c>
      <c r="B120" s="27">
        <v>44722</v>
      </c>
      <c r="C120" s="23">
        <v>125</v>
      </c>
      <c r="D120" s="23">
        <v>0</v>
      </c>
      <c r="E120" s="23">
        <v>0</v>
      </c>
      <c r="F120" s="23">
        <v>0</v>
      </c>
      <c r="G120" s="23">
        <v>0</v>
      </c>
      <c r="H120" s="23">
        <v>0</v>
      </c>
      <c r="I120" s="23">
        <v>0</v>
      </c>
      <c r="J120" s="23">
        <v>1</v>
      </c>
      <c r="K120" s="23">
        <v>0</v>
      </c>
      <c r="L120" s="23">
        <v>0</v>
      </c>
      <c r="M120" s="23">
        <v>0</v>
      </c>
      <c r="N120" s="23">
        <v>3</v>
      </c>
      <c r="O120" s="23">
        <v>1</v>
      </c>
      <c r="P120" s="23">
        <v>2</v>
      </c>
      <c r="Q120" s="23">
        <v>6</v>
      </c>
      <c r="R120" s="23">
        <v>7</v>
      </c>
      <c r="S120" s="23">
        <v>12</v>
      </c>
      <c r="T120" s="23">
        <v>22</v>
      </c>
      <c r="U120" s="23">
        <v>13</v>
      </c>
      <c r="V120" s="23">
        <v>32</v>
      </c>
      <c r="W120" s="28">
        <v>26</v>
      </c>
    </row>
    <row r="121" spans="1:23" x14ac:dyDescent="0.25">
      <c r="A121" s="20">
        <v>24</v>
      </c>
      <c r="B121" s="27">
        <v>44729</v>
      </c>
      <c r="C121" s="23">
        <v>142</v>
      </c>
      <c r="D121" s="23">
        <v>0</v>
      </c>
      <c r="E121" s="23">
        <v>0</v>
      </c>
      <c r="F121" s="23">
        <v>1</v>
      </c>
      <c r="G121" s="23">
        <v>0</v>
      </c>
      <c r="H121" s="23">
        <v>0</v>
      </c>
      <c r="I121" s="23">
        <v>0</v>
      </c>
      <c r="J121" s="23">
        <v>2</v>
      </c>
      <c r="K121" s="23">
        <v>1</v>
      </c>
      <c r="L121" s="23">
        <v>0</v>
      </c>
      <c r="M121" s="23">
        <v>0</v>
      </c>
      <c r="N121" s="23">
        <v>0</v>
      </c>
      <c r="O121" s="23">
        <v>3</v>
      </c>
      <c r="P121" s="23">
        <v>2</v>
      </c>
      <c r="Q121" s="23">
        <v>5</v>
      </c>
      <c r="R121" s="23">
        <v>10</v>
      </c>
      <c r="S121" s="23">
        <v>18</v>
      </c>
      <c r="T121" s="23">
        <v>20</v>
      </c>
      <c r="U121" s="23">
        <v>24</v>
      </c>
      <c r="V121" s="23">
        <v>26</v>
      </c>
      <c r="W121" s="28">
        <v>30</v>
      </c>
    </row>
    <row r="122" spans="1:23" x14ac:dyDescent="0.25">
      <c r="A122" s="20">
        <v>25</v>
      </c>
      <c r="B122" s="27">
        <v>44736</v>
      </c>
      <c r="C122" s="23">
        <v>171</v>
      </c>
      <c r="D122" s="23">
        <v>0</v>
      </c>
      <c r="E122" s="23">
        <v>0</v>
      </c>
      <c r="F122" s="23">
        <v>0</v>
      </c>
      <c r="G122" s="23">
        <v>0</v>
      </c>
      <c r="H122" s="23">
        <v>0</v>
      </c>
      <c r="I122" s="23">
        <v>0</v>
      </c>
      <c r="J122" s="23">
        <v>0</v>
      </c>
      <c r="K122" s="23">
        <v>0</v>
      </c>
      <c r="L122" s="23">
        <v>0</v>
      </c>
      <c r="M122" s="23">
        <v>2</v>
      </c>
      <c r="N122" s="23">
        <v>3</v>
      </c>
      <c r="O122" s="23">
        <v>3</v>
      </c>
      <c r="P122" s="23">
        <v>4</v>
      </c>
      <c r="Q122" s="23">
        <v>9</v>
      </c>
      <c r="R122" s="23">
        <v>10</v>
      </c>
      <c r="S122" s="23">
        <v>19</v>
      </c>
      <c r="T122" s="23">
        <v>22</v>
      </c>
      <c r="U122" s="23">
        <v>30</v>
      </c>
      <c r="V122" s="23">
        <v>41</v>
      </c>
      <c r="W122" s="28">
        <v>28</v>
      </c>
    </row>
    <row r="123" spans="1:23" x14ac:dyDescent="0.25">
      <c r="A123" s="20">
        <v>26</v>
      </c>
      <c r="B123" s="27">
        <v>44743</v>
      </c>
      <c r="C123" s="23">
        <v>223</v>
      </c>
      <c r="D123" s="23">
        <v>0</v>
      </c>
      <c r="E123" s="23">
        <v>0</v>
      </c>
      <c r="F123" s="23">
        <v>1</v>
      </c>
      <c r="G123" s="23">
        <v>0</v>
      </c>
      <c r="H123" s="23">
        <v>0</v>
      </c>
      <c r="I123" s="23">
        <v>0</v>
      </c>
      <c r="J123" s="23">
        <v>1</v>
      </c>
      <c r="K123" s="23">
        <v>2</v>
      </c>
      <c r="L123" s="23">
        <v>3</v>
      </c>
      <c r="M123" s="23">
        <v>1</v>
      </c>
      <c r="N123" s="23">
        <v>0</v>
      </c>
      <c r="O123" s="23">
        <v>1</v>
      </c>
      <c r="P123" s="23">
        <v>12</v>
      </c>
      <c r="Q123" s="23">
        <v>9</v>
      </c>
      <c r="R123" s="23">
        <v>11</v>
      </c>
      <c r="S123" s="23">
        <v>29</v>
      </c>
      <c r="T123" s="23">
        <v>22</v>
      </c>
      <c r="U123" s="23">
        <v>35</v>
      </c>
      <c r="V123" s="23">
        <v>42</v>
      </c>
      <c r="W123" s="28">
        <v>54</v>
      </c>
    </row>
    <row r="124" spans="1:23" x14ac:dyDescent="0.25">
      <c r="A124" s="20">
        <v>27</v>
      </c>
      <c r="B124" s="27">
        <v>44750</v>
      </c>
      <c r="C124" s="23">
        <v>299</v>
      </c>
      <c r="D124" s="23">
        <v>0</v>
      </c>
      <c r="E124" s="23">
        <v>0</v>
      </c>
      <c r="F124" s="23">
        <v>0</v>
      </c>
      <c r="G124" s="23">
        <v>0</v>
      </c>
      <c r="H124" s="23">
        <v>0</v>
      </c>
      <c r="I124" s="23">
        <v>0</v>
      </c>
      <c r="J124" s="23">
        <v>1</v>
      </c>
      <c r="K124" s="23">
        <v>0</v>
      </c>
      <c r="L124" s="23">
        <v>0</v>
      </c>
      <c r="M124" s="23">
        <v>3</v>
      </c>
      <c r="N124" s="23">
        <v>2</v>
      </c>
      <c r="O124" s="23">
        <v>3</v>
      </c>
      <c r="P124" s="23">
        <v>6</v>
      </c>
      <c r="Q124" s="23">
        <v>11</v>
      </c>
      <c r="R124" s="23">
        <v>27</v>
      </c>
      <c r="S124" s="23">
        <v>34</v>
      </c>
      <c r="T124" s="23">
        <v>40</v>
      </c>
      <c r="U124" s="23">
        <v>51</v>
      </c>
      <c r="V124" s="23">
        <v>67</v>
      </c>
      <c r="W124" s="28">
        <v>54</v>
      </c>
    </row>
    <row r="125" spans="1:23" x14ac:dyDescent="0.25">
      <c r="A125" s="20">
        <v>28</v>
      </c>
      <c r="B125" s="27">
        <v>44757</v>
      </c>
      <c r="C125" s="23">
        <v>400</v>
      </c>
      <c r="D125" s="23">
        <v>0</v>
      </c>
      <c r="E125" s="23">
        <v>0</v>
      </c>
      <c r="F125" s="23">
        <v>0</v>
      </c>
      <c r="G125" s="23">
        <v>0</v>
      </c>
      <c r="H125" s="23">
        <v>0</v>
      </c>
      <c r="I125" s="23">
        <v>0</v>
      </c>
      <c r="J125" s="23">
        <v>0</v>
      </c>
      <c r="K125" s="23">
        <v>0</v>
      </c>
      <c r="L125" s="23">
        <v>3</v>
      </c>
      <c r="M125" s="23">
        <v>0</v>
      </c>
      <c r="N125" s="23">
        <v>2</v>
      </c>
      <c r="O125" s="23">
        <v>6</v>
      </c>
      <c r="P125" s="23">
        <v>14</v>
      </c>
      <c r="Q125" s="23">
        <v>14</v>
      </c>
      <c r="R125" s="23">
        <v>30</v>
      </c>
      <c r="S125" s="23">
        <v>24</v>
      </c>
      <c r="T125" s="23">
        <v>63</v>
      </c>
      <c r="U125" s="23">
        <v>71</v>
      </c>
      <c r="V125" s="23">
        <v>96</v>
      </c>
      <c r="W125" s="28">
        <v>77</v>
      </c>
    </row>
    <row r="126" spans="1:23" x14ac:dyDescent="0.25">
      <c r="A126" s="20">
        <v>29</v>
      </c>
      <c r="B126" s="27">
        <v>44764</v>
      </c>
      <c r="C126" s="23">
        <v>497</v>
      </c>
      <c r="D126" s="23">
        <v>0</v>
      </c>
      <c r="E126" s="23">
        <v>0</v>
      </c>
      <c r="F126" s="23">
        <v>0</v>
      </c>
      <c r="G126" s="23">
        <v>0</v>
      </c>
      <c r="H126" s="23">
        <v>0</v>
      </c>
      <c r="I126" s="23">
        <v>0</v>
      </c>
      <c r="J126" s="23">
        <v>0</v>
      </c>
      <c r="K126" s="23">
        <v>0</v>
      </c>
      <c r="L126" s="23">
        <v>0</v>
      </c>
      <c r="M126" s="23">
        <v>3</v>
      </c>
      <c r="N126" s="23">
        <v>4</v>
      </c>
      <c r="O126" s="23">
        <v>7</v>
      </c>
      <c r="P126" s="23">
        <v>10</v>
      </c>
      <c r="Q126" s="23">
        <v>21</v>
      </c>
      <c r="R126" s="23">
        <v>31</v>
      </c>
      <c r="S126" s="23">
        <v>54</v>
      </c>
      <c r="T126" s="23">
        <v>71</v>
      </c>
      <c r="U126" s="23">
        <v>87</v>
      </c>
      <c r="V126" s="23">
        <v>97</v>
      </c>
      <c r="W126" s="28">
        <v>112</v>
      </c>
    </row>
    <row r="127" spans="1:23" x14ac:dyDescent="0.25">
      <c r="A127" s="20">
        <v>30</v>
      </c>
      <c r="B127" s="27">
        <v>44771</v>
      </c>
      <c r="C127" s="23">
        <v>375</v>
      </c>
      <c r="D127" s="23">
        <v>0</v>
      </c>
      <c r="E127" s="23">
        <v>0</v>
      </c>
      <c r="F127" s="23">
        <v>0</v>
      </c>
      <c r="G127" s="23">
        <v>0</v>
      </c>
      <c r="H127" s="23">
        <v>1</v>
      </c>
      <c r="I127" s="23">
        <v>0</v>
      </c>
      <c r="J127" s="23">
        <v>1</v>
      </c>
      <c r="K127" s="23">
        <v>0</v>
      </c>
      <c r="L127" s="23">
        <v>2</v>
      </c>
      <c r="M127" s="23">
        <v>1</v>
      </c>
      <c r="N127" s="23">
        <v>1</v>
      </c>
      <c r="O127" s="23">
        <v>5</v>
      </c>
      <c r="P127" s="23">
        <v>8</v>
      </c>
      <c r="Q127" s="23">
        <v>16</v>
      </c>
      <c r="R127" s="23">
        <v>32</v>
      </c>
      <c r="S127" s="23">
        <v>34</v>
      </c>
      <c r="T127" s="23">
        <v>53</v>
      </c>
      <c r="U127" s="23">
        <v>63</v>
      </c>
      <c r="V127" s="23">
        <v>85</v>
      </c>
      <c r="W127" s="28">
        <v>73</v>
      </c>
    </row>
    <row r="128" spans="1:23" x14ac:dyDescent="0.25">
      <c r="A128" s="20">
        <v>31</v>
      </c>
      <c r="B128" s="27">
        <v>44778</v>
      </c>
      <c r="C128" s="23">
        <v>323</v>
      </c>
      <c r="D128" s="23">
        <v>1</v>
      </c>
      <c r="E128" s="23">
        <v>0</v>
      </c>
      <c r="F128" s="23">
        <v>0</v>
      </c>
      <c r="G128" s="23">
        <v>0</v>
      </c>
      <c r="H128" s="23">
        <v>0</v>
      </c>
      <c r="I128" s="23">
        <v>0</v>
      </c>
      <c r="J128" s="23">
        <v>1</v>
      </c>
      <c r="K128" s="23">
        <v>3</v>
      </c>
      <c r="L128" s="23">
        <v>1</v>
      </c>
      <c r="M128" s="23">
        <v>2</v>
      </c>
      <c r="N128" s="23">
        <v>3</v>
      </c>
      <c r="O128" s="23">
        <v>3</v>
      </c>
      <c r="P128" s="23">
        <v>5</v>
      </c>
      <c r="Q128" s="23">
        <v>7</v>
      </c>
      <c r="R128" s="23">
        <v>22</v>
      </c>
      <c r="S128" s="23">
        <v>30</v>
      </c>
      <c r="T128" s="23">
        <v>49</v>
      </c>
      <c r="U128" s="23">
        <v>62</v>
      </c>
      <c r="V128" s="23">
        <v>72</v>
      </c>
      <c r="W128" s="28">
        <v>62</v>
      </c>
    </row>
    <row r="129" spans="1:23" x14ac:dyDescent="0.25">
      <c r="A129" s="20">
        <v>32</v>
      </c>
      <c r="B129" s="27">
        <v>44785</v>
      </c>
      <c r="C129" s="23">
        <v>308</v>
      </c>
      <c r="D129" s="23">
        <v>0</v>
      </c>
      <c r="E129" s="23">
        <v>0</v>
      </c>
      <c r="F129" s="23">
        <v>0</v>
      </c>
      <c r="G129" s="23">
        <v>0</v>
      </c>
      <c r="H129" s="23">
        <v>0</v>
      </c>
      <c r="I129" s="23">
        <v>2</v>
      </c>
      <c r="J129" s="23">
        <v>0</v>
      </c>
      <c r="K129" s="23">
        <v>0</v>
      </c>
      <c r="L129" s="23">
        <v>0</v>
      </c>
      <c r="M129" s="23">
        <v>1</v>
      </c>
      <c r="N129" s="23">
        <v>2</v>
      </c>
      <c r="O129" s="23">
        <v>7</v>
      </c>
      <c r="P129" s="23">
        <v>5</v>
      </c>
      <c r="Q129" s="23">
        <v>13</v>
      </c>
      <c r="R129" s="23">
        <v>17</v>
      </c>
      <c r="S129" s="23">
        <v>39</v>
      </c>
      <c r="T129" s="23">
        <v>34</v>
      </c>
      <c r="U129" s="23">
        <v>51</v>
      </c>
      <c r="V129" s="23">
        <v>59</v>
      </c>
      <c r="W129" s="28">
        <v>78</v>
      </c>
    </row>
    <row r="130" spans="1:23" x14ac:dyDescent="0.25">
      <c r="A130" s="20">
        <v>33</v>
      </c>
      <c r="B130" s="27">
        <v>44792</v>
      </c>
      <c r="C130" s="23">
        <v>255</v>
      </c>
      <c r="D130" s="23">
        <v>1</v>
      </c>
      <c r="E130" s="23">
        <v>0</v>
      </c>
      <c r="F130" s="23">
        <v>0</v>
      </c>
      <c r="G130" s="23">
        <v>0</v>
      </c>
      <c r="H130" s="23">
        <v>0</v>
      </c>
      <c r="I130" s="23">
        <v>0</v>
      </c>
      <c r="J130" s="23">
        <v>0</v>
      </c>
      <c r="K130" s="23">
        <v>0</v>
      </c>
      <c r="L130" s="23">
        <v>1</v>
      </c>
      <c r="M130" s="23">
        <v>0</v>
      </c>
      <c r="N130" s="23">
        <v>1</v>
      </c>
      <c r="O130" s="23">
        <v>3</v>
      </c>
      <c r="P130" s="23">
        <v>3</v>
      </c>
      <c r="Q130" s="23">
        <v>7</v>
      </c>
      <c r="R130" s="23">
        <v>17</v>
      </c>
      <c r="S130" s="23">
        <v>32</v>
      </c>
      <c r="T130" s="23">
        <v>40</v>
      </c>
      <c r="U130" s="23">
        <v>43</v>
      </c>
      <c r="V130" s="23">
        <v>53</v>
      </c>
      <c r="W130" s="28">
        <v>54</v>
      </c>
    </row>
    <row r="131" spans="1:23" x14ac:dyDescent="0.25">
      <c r="A131" s="20">
        <v>34</v>
      </c>
      <c r="B131" s="27">
        <v>44799</v>
      </c>
      <c r="C131" s="23">
        <v>194</v>
      </c>
      <c r="D131" s="23">
        <v>0</v>
      </c>
      <c r="E131" s="23">
        <v>0</v>
      </c>
      <c r="F131" s="23">
        <v>0</v>
      </c>
      <c r="G131" s="23">
        <v>0</v>
      </c>
      <c r="H131" s="23">
        <v>0</v>
      </c>
      <c r="I131" s="23">
        <v>0</v>
      </c>
      <c r="J131" s="23">
        <v>0</v>
      </c>
      <c r="K131" s="23">
        <v>0</v>
      </c>
      <c r="L131" s="23">
        <v>0</v>
      </c>
      <c r="M131" s="23">
        <v>1</v>
      </c>
      <c r="N131" s="23">
        <v>0</v>
      </c>
      <c r="O131" s="23">
        <v>3</v>
      </c>
      <c r="P131" s="23">
        <v>3</v>
      </c>
      <c r="Q131" s="23">
        <v>5</v>
      </c>
      <c r="R131" s="23">
        <v>12</v>
      </c>
      <c r="S131" s="23">
        <v>19</v>
      </c>
      <c r="T131" s="23">
        <v>24</v>
      </c>
      <c r="U131" s="23">
        <v>35</v>
      </c>
      <c r="V131" s="23">
        <v>37</v>
      </c>
      <c r="W131" s="28">
        <v>55</v>
      </c>
    </row>
    <row r="132" spans="1:23" x14ac:dyDescent="0.25">
      <c r="A132" s="20">
        <v>35</v>
      </c>
      <c r="B132" s="27">
        <v>44806</v>
      </c>
      <c r="C132" s="23">
        <v>192</v>
      </c>
      <c r="D132" s="23">
        <v>0</v>
      </c>
      <c r="E132" s="23">
        <v>0</v>
      </c>
      <c r="F132" s="23">
        <v>0</v>
      </c>
      <c r="G132" s="23">
        <v>0</v>
      </c>
      <c r="H132" s="23">
        <v>0</v>
      </c>
      <c r="I132" s="23">
        <v>0</v>
      </c>
      <c r="J132" s="23">
        <v>0</v>
      </c>
      <c r="K132" s="23">
        <v>1</v>
      </c>
      <c r="L132" s="23">
        <v>1</v>
      </c>
      <c r="M132" s="23">
        <v>2</v>
      </c>
      <c r="N132" s="23">
        <v>4</v>
      </c>
      <c r="O132" s="23">
        <v>2</v>
      </c>
      <c r="P132" s="23">
        <v>4</v>
      </c>
      <c r="Q132" s="23">
        <v>7</v>
      </c>
      <c r="R132" s="23">
        <v>12</v>
      </c>
      <c r="S132" s="23">
        <v>24</v>
      </c>
      <c r="T132" s="23">
        <v>26</v>
      </c>
      <c r="U132" s="23">
        <v>24</v>
      </c>
      <c r="V132" s="23">
        <v>39</v>
      </c>
      <c r="W132" s="28">
        <v>46</v>
      </c>
    </row>
    <row r="133" spans="1:23" x14ac:dyDescent="0.25">
      <c r="A133" s="20">
        <v>36</v>
      </c>
      <c r="B133" s="27">
        <v>44813</v>
      </c>
      <c r="C133" s="23">
        <v>164</v>
      </c>
      <c r="D133" s="23">
        <v>1</v>
      </c>
      <c r="E133" s="23">
        <v>0</v>
      </c>
      <c r="F133" s="23">
        <v>0</v>
      </c>
      <c r="G133" s="23">
        <v>0</v>
      </c>
      <c r="H133" s="23">
        <v>0</v>
      </c>
      <c r="I133" s="23">
        <v>0</v>
      </c>
      <c r="J133" s="23">
        <v>1</v>
      </c>
      <c r="K133" s="23">
        <v>0</v>
      </c>
      <c r="L133" s="23">
        <v>2</v>
      </c>
      <c r="M133" s="23">
        <v>0</v>
      </c>
      <c r="N133" s="23">
        <v>1</v>
      </c>
      <c r="O133" s="23">
        <v>2</v>
      </c>
      <c r="P133" s="23">
        <v>0</v>
      </c>
      <c r="Q133" s="23">
        <v>7</v>
      </c>
      <c r="R133" s="23">
        <v>8</v>
      </c>
      <c r="S133" s="23">
        <v>18</v>
      </c>
      <c r="T133" s="23">
        <v>33</v>
      </c>
      <c r="U133" s="23">
        <v>30</v>
      </c>
      <c r="V133" s="23">
        <v>36</v>
      </c>
      <c r="W133" s="28">
        <v>25</v>
      </c>
    </row>
    <row r="134" spans="1:23" x14ac:dyDescent="0.25">
      <c r="A134" s="20">
        <v>37</v>
      </c>
      <c r="B134" s="27">
        <v>44820</v>
      </c>
      <c r="C134" s="23">
        <v>155</v>
      </c>
      <c r="D134" s="23">
        <v>1</v>
      </c>
      <c r="E134" s="23">
        <v>0</v>
      </c>
      <c r="F134" s="23">
        <v>0</v>
      </c>
      <c r="G134" s="23">
        <v>0</v>
      </c>
      <c r="H134" s="23">
        <v>0</v>
      </c>
      <c r="I134" s="23">
        <v>0</v>
      </c>
      <c r="J134" s="23">
        <v>0</v>
      </c>
      <c r="K134" s="23">
        <v>0</v>
      </c>
      <c r="L134" s="23">
        <v>1</v>
      </c>
      <c r="M134" s="23">
        <v>1</v>
      </c>
      <c r="N134" s="23">
        <v>3</v>
      </c>
      <c r="O134" s="23">
        <v>1</v>
      </c>
      <c r="P134" s="23">
        <v>4</v>
      </c>
      <c r="Q134" s="23">
        <v>2</v>
      </c>
      <c r="R134" s="23">
        <v>12</v>
      </c>
      <c r="S134" s="23">
        <v>19</v>
      </c>
      <c r="T134" s="23">
        <v>21</v>
      </c>
      <c r="U134" s="23">
        <v>18</v>
      </c>
      <c r="V134" s="23">
        <v>34</v>
      </c>
      <c r="W134" s="28">
        <v>38</v>
      </c>
    </row>
    <row r="135" spans="1:23" x14ac:dyDescent="0.25">
      <c r="A135" s="20">
        <v>38</v>
      </c>
      <c r="B135" s="27">
        <v>44827</v>
      </c>
      <c r="C135" s="23">
        <v>157</v>
      </c>
      <c r="D135" s="23">
        <v>0</v>
      </c>
      <c r="E135" s="23">
        <v>0</v>
      </c>
      <c r="F135" s="23">
        <v>0</v>
      </c>
      <c r="G135" s="23">
        <v>0</v>
      </c>
      <c r="H135" s="23">
        <v>0</v>
      </c>
      <c r="I135" s="23">
        <v>0</v>
      </c>
      <c r="J135" s="23">
        <v>0</v>
      </c>
      <c r="K135" s="23">
        <v>1</v>
      </c>
      <c r="L135" s="23">
        <v>0</v>
      </c>
      <c r="M135" s="23">
        <v>1</v>
      </c>
      <c r="N135" s="23">
        <v>4</v>
      </c>
      <c r="O135" s="23">
        <v>1</v>
      </c>
      <c r="P135" s="23">
        <v>3</v>
      </c>
      <c r="Q135" s="23">
        <v>4</v>
      </c>
      <c r="R135" s="23">
        <v>5</v>
      </c>
      <c r="S135" s="23">
        <v>17</v>
      </c>
      <c r="T135" s="23">
        <v>24</v>
      </c>
      <c r="U135" s="23">
        <v>25</v>
      </c>
      <c r="V135" s="23">
        <v>37</v>
      </c>
      <c r="W135" s="28">
        <v>35</v>
      </c>
    </row>
    <row r="136" spans="1:23" x14ac:dyDescent="0.25">
      <c r="A136" s="20">
        <v>39</v>
      </c>
      <c r="B136" s="27">
        <v>44834</v>
      </c>
      <c r="C136" s="23">
        <v>199</v>
      </c>
      <c r="D136" s="23">
        <v>0</v>
      </c>
      <c r="E136" s="23">
        <v>0</v>
      </c>
      <c r="F136" s="23">
        <v>0</v>
      </c>
      <c r="G136" s="23">
        <v>1</v>
      </c>
      <c r="H136" s="23">
        <v>0</v>
      </c>
      <c r="I136" s="23">
        <v>0</v>
      </c>
      <c r="J136" s="23">
        <v>0</v>
      </c>
      <c r="K136" s="23">
        <v>1</v>
      </c>
      <c r="L136" s="23">
        <v>0</v>
      </c>
      <c r="M136" s="23">
        <v>1</v>
      </c>
      <c r="N136" s="23">
        <v>2</v>
      </c>
      <c r="O136" s="23">
        <v>1</v>
      </c>
      <c r="P136" s="23">
        <v>1</v>
      </c>
      <c r="Q136" s="23">
        <v>3</v>
      </c>
      <c r="R136" s="23">
        <v>7</v>
      </c>
      <c r="S136" s="23">
        <v>24</v>
      </c>
      <c r="T136" s="23">
        <v>33</v>
      </c>
      <c r="U136" s="23">
        <v>32</v>
      </c>
      <c r="V136" s="23">
        <v>42</v>
      </c>
      <c r="W136" s="28">
        <v>51</v>
      </c>
    </row>
    <row r="137" spans="1:23" x14ac:dyDescent="0.25">
      <c r="A137" s="20">
        <v>40</v>
      </c>
      <c r="B137" s="27">
        <v>44841</v>
      </c>
      <c r="C137" s="23">
        <v>275</v>
      </c>
      <c r="D137" s="23">
        <v>0</v>
      </c>
      <c r="E137" s="23">
        <v>0</v>
      </c>
      <c r="F137" s="23">
        <v>0</v>
      </c>
      <c r="G137" s="23">
        <v>0</v>
      </c>
      <c r="H137" s="23">
        <v>0</v>
      </c>
      <c r="I137" s="23">
        <v>2</v>
      </c>
      <c r="J137" s="23">
        <v>0</v>
      </c>
      <c r="K137" s="23">
        <v>1</v>
      </c>
      <c r="L137" s="23">
        <v>0</v>
      </c>
      <c r="M137" s="23">
        <v>1</v>
      </c>
      <c r="N137" s="23">
        <v>2</v>
      </c>
      <c r="O137" s="23">
        <v>2</v>
      </c>
      <c r="P137" s="23">
        <v>11</v>
      </c>
      <c r="Q137" s="23">
        <v>7</v>
      </c>
      <c r="R137" s="23">
        <v>16</v>
      </c>
      <c r="S137" s="23">
        <v>23</v>
      </c>
      <c r="T137" s="23">
        <v>42</v>
      </c>
      <c r="U137" s="23">
        <v>49</v>
      </c>
      <c r="V137" s="23">
        <v>44</v>
      </c>
      <c r="W137" s="28">
        <v>75</v>
      </c>
    </row>
    <row r="138" spans="1:23" x14ac:dyDescent="0.25">
      <c r="A138" s="20">
        <v>41</v>
      </c>
      <c r="B138" s="27">
        <v>44848</v>
      </c>
      <c r="C138" s="23">
        <v>393</v>
      </c>
      <c r="D138" s="23">
        <v>0</v>
      </c>
      <c r="E138" s="23">
        <v>0</v>
      </c>
      <c r="F138" s="23">
        <v>0</v>
      </c>
      <c r="G138" s="23">
        <v>0</v>
      </c>
      <c r="H138" s="23">
        <v>0</v>
      </c>
      <c r="I138" s="23">
        <v>0</v>
      </c>
      <c r="J138" s="23">
        <v>1</v>
      </c>
      <c r="K138" s="23">
        <v>0</v>
      </c>
      <c r="L138" s="23">
        <v>1</v>
      </c>
      <c r="M138" s="23">
        <v>4</v>
      </c>
      <c r="N138" s="23">
        <v>0</v>
      </c>
      <c r="O138" s="23">
        <v>6</v>
      </c>
      <c r="P138" s="23">
        <v>6</v>
      </c>
      <c r="Q138" s="23">
        <v>14</v>
      </c>
      <c r="R138" s="23">
        <v>14</v>
      </c>
      <c r="S138" s="23">
        <v>43</v>
      </c>
      <c r="T138" s="23">
        <v>54</v>
      </c>
      <c r="U138" s="23">
        <v>74</v>
      </c>
      <c r="V138" s="23">
        <v>86</v>
      </c>
      <c r="W138" s="28">
        <v>90</v>
      </c>
    </row>
    <row r="139" spans="1:23" x14ac:dyDescent="0.25">
      <c r="A139" s="20">
        <v>42</v>
      </c>
      <c r="B139" s="27">
        <v>44855</v>
      </c>
      <c r="C139" s="23">
        <v>383</v>
      </c>
      <c r="D139" s="23">
        <v>0</v>
      </c>
      <c r="E139" s="23">
        <v>0</v>
      </c>
      <c r="F139" s="23">
        <v>0</v>
      </c>
      <c r="G139" s="23">
        <v>0</v>
      </c>
      <c r="H139" s="23">
        <v>0</v>
      </c>
      <c r="I139" s="23">
        <v>0</v>
      </c>
      <c r="J139" s="23">
        <v>0</v>
      </c>
      <c r="K139" s="23">
        <v>2</v>
      </c>
      <c r="L139" s="23">
        <v>1</v>
      </c>
      <c r="M139" s="23">
        <v>2</v>
      </c>
      <c r="N139" s="23">
        <v>1</v>
      </c>
      <c r="O139" s="23">
        <v>8</v>
      </c>
      <c r="P139" s="23">
        <v>7</v>
      </c>
      <c r="Q139" s="23">
        <v>9</v>
      </c>
      <c r="R139" s="23">
        <v>23</v>
      </c>
      <c r="S139" s="23">
        <v>35</v>
      </c>
      <c r="T139" s="23">
        <v>41</v>
      </c>
      <c r="U139" s="23">
        <v>74</v>
      </c>
      <c r="V139" s="23">
        <v>78</v>
      </c>
      <c r="W139" s="28">
        <v>102</v>
      </c>
    </row>
    <row r="140" spans="1:23" x14ac:dyDescent="0.25">
      <c r="A140" s="20">
        <v>43</v>
      </c>
      <c r="B140" s="27">
        <v>44862</v>
      </c>
      <c r="C140" s="23">
        <v>356</v>
      </c>
      <c r="D140" s="23">
        <v>0</v>
      </c>
      <c r="E140" s="23">
        <v>0</v>
      </c>
      <c r="F140" s="23">
        <v>1</v>
      </c>
      <c r="G140" s="23">
        <v>0</v>
      </c>
      <c r="H140" s="23">
        <v>0</v>
      </c>
      <c r="I140" s="23">
        <v>0</v>
      </c>
      <c r="J140" s="23">
        <v>0</v>
      </c>
      <c r="K140" s="23">
        <v>0</v>
      </c>
      <c r="L140" s="23">
        <v>2</v>
      </c>
      <c r="M140" s="23">
        <v>3</v>
      </c>
      <c r="N140" s="23">
        <v>0</v>
      </c>
      <c r="O140" s="23">
        <v>2</v>
      </c>
      <c r="P140" s="23">
        <v>7</v>
      </c>
      <c r="Q140" s="23">
        <v>17</v>
      </c>
      <c r="R140" s="23">
        <v>14</v>
      </c>
      <c r="S140" s="23">
        <v>36</v>
      </c>
      <c r="T140" s="23">
        <v>41</v>
      </c>
      <c r="U140" s="23">
        <v>62</v>
      </c>
      <c r="V140" s="23">
        <v>95</v>
      </c>
      <c r="W140" s="28">
        <v>76</v>
      </c>
    </row>
    <row r="141" spans="1:23" x14ac:dyDescent="0.25">
      <c r="A141" s="20">
        <v>44</v>
      </c>
      <c r="B141" s="27">
        <v>44869</v>
      </c>
      <c r="C141" s="23">
        <v>315</v>
      </c>
      <c r="D141" s="23">
        <v>0</v>
      </c>
      <c r="E141" s="23">
        <v>0</v>
      </c>
      <c r="F141" s="23">
        <v>0</v>
      </c>
      <c r="G141" s="23">
        <v>1</v>
      </c>
      <c r="H141" s="23">
        <v>0</v>
      </c>
      <c r="I141" s="23">
        <v>0</v>
      </c>
      <c r="J141" s="23">
        <v>1</v>
      </c>
      <c r="K141" s="23">
        <v>0</v>
      </c>
      <c r="L141" s="23">
        <v>1</v>
      </c>
      <c r="M141" s="23">
        <v>0</v>
      </c>
      <c r="N141" s="23">
        <v>1</v>
      </c>
      <c r="O141" s="23">
        <v>3</v>
      </c>
      <c r="P141" s="23">
        <v>5</v>
      </c>
      <c r="Q141" s="23">
        <v>13</v>
      </c>
      <c r="R141" s="23">
        <v>14</v>
      </c>
      <c r="S141" s="23">
        <v>30</v>
      </c>
      <c r="T141" s="23">
        <v>48</v>
      </c>
      <c r="U141" s="23">
        <v>50</v>
      </c>
      <c r="V141" s="23">
        <v>71</v>
      </c>
      <c r="W141" s="28">
        <v>77</v>
      </c>
    </row>
    <row r="142" spans="1:23" x14ac:dyDescent="0.25">
      <c r="A142" s="20">
        <v>45</v>
      </c>
      <c r="B142" s="27">
        <v>44876</v>
      </c>
      <c r="C142" s="23">
        <v>226</v>
      </c>
      <c r="D142" s="23">
        <v>1</v>
      </c>
      <c r="E142" s="23">
        <v>0</v>
      </c>
      <c r="F142" s="23">
        <v>0</v>
      </c>
      <c r="G142" s="23">
        <v>0</v>
      </c>
      <c r="H142" s="23">
        <v>0</v>
      </c>
      <c r="I142" s="23">
        <v>0</v>
      </c>
      <c r="J142" s="23">
        <v>0</v>
      </c>
      <c r="K142" s="23">
        <v>1</v>
      </c>
      <c r="L142" s="23">
        <v>0</v>
      </c>
      <c r="M142" s="23">
        <v>2</v>
      </c>
      <c r="N142" s="23">
        <v>4</v>
      </c>
      <c r="O142" s="23">
        <v>5</v>
      </c>
      <c r="P142" s="23">
        <v>5</v>
      </c>
      <c r="Q142" s="23">
        <v>6</v>
      </c>
      <c r="R142" s="23">
        <v>16</v>
      </c>
      <c r="S142" s="23">
        <v>21</v>
      </c>
      <c r="T142" s="23">
        <v>34</v>
      </c>
      <c r="U142" s="23">
        <v>49</v>
      </c>
      <c r="V142" s="23">
        <v>43</v>
      </c>
      <c r="W142" s="28">
        <v>39</v>
      </c>
    </row>
    <row r="143" spans="1:23" x14ac:dyDescent="0.25">
      <c r="A143" s="20">
        <v>46</v>
      </c>
      <c r="B143" s="27">
        <v>44883</v>
      </c>
      <c r="C143" s="23">
        <v>190</v>
      </c>
      <c r="D143" s="23">
        <v>0</v>
      </c>
      <c r="E143" s="23">
        <v>0</v>
      </c>
      <c r="F143" s="23">
        <v>0</v>
      </c>
      <c r="G143" s="23">
        <v>0</v>
      </c>
      <c r="H143" s="23">
        <v>0</v>
      </c>
      <c r="I143" s="23">
        <v>0</v>
      </c>
      <c r="J143" s="23">
        <v>0</v>
      </c>
      <c r="K143" s="23">
        <v>1</v>
      </c>
      <c r="L143" s="23">
        <v>1</v>
      </c>
      <c r="M143" s="23">
        <v>0</v>
      </c>
      <c r="N143" s="23">
        <v>4</v>
      </c>
      <c r="O143" s="23">
        <v>1</v>
      </c>
      <c r="P143" s="23">
        <v>3</v>
      </c>
      <c r="Q143" s="23">
        <v>5</v>
      </c>
      <c r="R143" s="23">
        <v>5</v>
      </c>
      <c r="S143" s="23">
        <v>21</v>
      </c>
      <c r="T143" s="23">
        <v>32</v>
      </c>
      <c r="U143" s="23">
        <v>38</v>
      </c>
      <c r="V143" s="23">
        <v>45</v>
      </c>
      <c r="W143" s="28">
        <v>34</v>
      </c>
    </row>
    <row r="144" spans="1:23" x14ac:dyDescent="0.25">
      <c r="A144" s="20">
        <v>47</v>
      </c>
      <c r="B144" s="27">
        <v>44890</v>
      </c>
      <c r="C144" s="23">
        <v>176</v>
      </c>
      <c r="D144" s="23">
        <v>1</v>
      </c>
      <c r="E144" s="23">
        <v>0</v>
      </c>
      <c r="F144" s="23">
        <v>0</v>
      </c>
      <c r="G144" s="23">
        <v>0</v>
      </c>
      <c r="H144" s="23">
        <v>0</v>
      </c>
      <c r="I144" s="23">
        <v>0</v>
      </c>
      <c r="J144" s="23">
        <v>0</v>
      </c>
      <c r="K144" s="23">
        <v>0</v>
      </c>
      <c r="L144" s="23">
        <v>1</v>
      </c>
      <c r="M144" s="23">
        <v>0</v>
      </c>
      <c r="N144" s="23">
        <v>1</v>
      </c>
      <c r="O144" s="23">
        <v>2</v>
      </c>
      <c r="P144" s="23">
        <v>3</v>
      </c>
      <c r="Q144" s="23">
        <v>7</v>
      </c>
      <c r="R144" s="23">
        <v>16</v>
      </c>
      <c r="S144" s="23">
        <v>12</v>
      </c>
      <c r="T144" s="23">
        <v>28</v>
      </c>
      <c r="U144" s="23">
        <v>34</v>
      </c>
      <c r="V144" s="23">
        <v>41</v>
      </c>
      <c r="W144" s="28">
        <v>30</v>
      </c>
    </row>
    <row r="145" spans="1:23" x14ac:dyDescent="0.25">
      <c r="A145" s="20">
        <v>48</v>
      </c>
      <c r="B145" s="27">
        <v>44897</v>
      </c>
      <c r="C145" s="23">
        <v>172</v>
      </c>
      <c r="D145" s="23">
        <v>0</v>
      </c>
      <c r="E145" s="23">
        <v>0</v>
      </c>
      <c r="F145" s="23">
        <v>0</v>
      </c>
      <c r="G145" s="23">
        <v>0</v>
      </c>
      <c r="H145" s="23">
        <v>0</v>
      </c>
      <c r="I145" s="23">
        <v>0</v>
      </c>
      <c r="J145" s="23">
        <v>1</v>
      </c>
      <c r="K145" s="23">
        <v>0</v>
      </c>
      <c r="L145" s="23">
        <v>0</v>
      </c>
      <c r="M145" s="23">
        <v>0</v>
      </c>
      <c r="N145" s="23">
        <v>1</v>
      </c>
      <c r="O145" s="23">
        <v>3</v>
      </c>
      <c r="P145" s="23">
        <v>3</v>
      </c>
      <c r="Q145" s="23">
        <v>5</v>
      </c>
      <c r="R145" s="23">
        <v>10</v>
      </c>
      <c r="S145" s="23">
        <v>13</v>
      </c>
      <c r="T145" s="23">
        <v>31</v>
      </c>
      <c r="U145" s="23">
        <v>32</v>
      </c>
      <c r="V145" s="23">
        <v>39</v>
      </c>
      <c r="W145" s="28">
        <v>34</v>
      </c>
    </row>
    <row r="146" spans="1:23" x14ac:dyDescent="0.25">
      <c r="A146" s="20">
        <v>49</v>
      </c>
      <c r="B146" s="27">
        <v>44904</v>
      </c>
      <c r="C146" s="23">
        <v>195</v>
      </c>
      <c r="D146" s="23">
        <v>0</v>
      </c>
      <c r="E146" s="23">
        <v>0</v>
      </c>
      <c r="F146" s="23">
        <v>0</v>
      </c>
      <c r="G146" s="23">
        <v>1</v>
      </c>
      <c r="H146" s="23">
        <v>0</v>
      </c>
      <c r="I146" s="23">
        <v>0</v>
      </c>
      <c r="J146" s="23">
        <v>1</v>
      </c>
      <c r="K146" s="23">
        <v>0</v>
      </c>
      <c r="L146" s="23">
        <v>0</v>
      </c>
      <c r="M146" s="23">
        <v>1</v>
      </c>
      <c r="N146" s="23">
        <v>1</v>
      </c>
      <c r="O146" s="23">
        <v>3</v>
      </c>
      <c r="P146" s="23">
        <v>2</v>
      </c>
      <c r="Q146" s="23">
        <v>5</v>
      </c>
      <c r="R146" s="23">
        <v>11</v>
      </c>
      <c r="S146" s="23">
        <v>12</v>
      </c>
      <c r="T146" s="23">
        <v>37</v>
      </c>
      <c r="U146" s="23">
        <v>35</v>
      </c>
      <c r="V146" s="23">
        <v>43</v>
      </c>
      <c r="W146" s="28">
        <v>43</v>
      </c>
    </row>
    <row r="147" spans="1:23" x14ac:dyDescent="0.25">
      <c r="A147" s="20">
        <v>50</v>
      </c>
      <c r="B147" s="27">
        <v>44911</v>
      </c>
      <c r="C147" s="23">
        <v>233</v>
      </c>
      <c r="D147" s="23">
        <v>0</v>
      </c>
      <c r="E147" s="23">
        <v>0</v>
      </c>
      <c r="F147" s="23">
        <v>0</v>
      </c>
      <c r="G147" s="23">
        <v>0</v>
      </c>
      <c r="H147" s="23">
        <v>0</v>
      </c>
      <c r="I147" s="23">
        <v>0</v>
      </c>
      <c r="J147" s="23">
        <v>0</v>
      </c>
      <c r="K147" s="23">
        <v>1</v>
      </c>
      <c r="L147" s="23">
        <v>1</v>
      </c>
      <c r="M147" s="23">
        <v>1</v>
      </c>
      <c r="N147" s="23">
        <v>0</v>
      </c>
      <c r="O147" s="23">
        <v>4</v>
      </c>
      <c r="P147" s="23">
        <v>6</v>
      </c>
      <c r="Q147" s="23">
        <v>10</v>
      </c>
      <c r="R147" s="23">
        <v>12</v>
      </c>
      <c r="S147" s="23">
        <v>17</v>
      </c>
      <c r="T147" s="23">
        <v>27</v>
      </c>
      <c r="U147" s="23">
        <v>44</v>
      </c>
      <c r="V147" s="23">
        <v>48</v>
      </c>
      <c r="W147" s="28">
        <v>62</v>
      </c>
    </row>
    <row r="148" spans="1:23" x14ac:dyDescent="0.25">
      <c r="A148" s="20">
        <v>51</v>
      </c>
      <c r="B148" s="27">
        <v>44918</v>
      </c>
      <c r="C148" s="23">
        <v>335</v>
      </c>
      <c r="D148" s="23">
        <v>0</v>
      </c>
      <c r="E148" s="23">
        <v>0</v>
      </c>
      <c r="F148" s="23">
        <v>0</v>
      </c>
      <c r="G148" s="23">
        <v>0</v>
      </c>
      <c r="H148" s="23">
        <v>0</v>
      </c>
      <c r="I148" s="23">
        <v>0</v>
      </c>
      <c r="J148" s="23">
        <v>1</v>
      </c>
      <c r="K148" s="23">
        <v>0</v>
      </c>
      <c r="L148" s="23">
        <v>1</v>
      </c>
      <c r="M148" s="23">
        <v>0</v>
      </c>
      <c r="N148" s="23">
        <v>5</v>
      </c>
      <c r="O148" s="23">
        <v>2</v>
      </c>
      <c r="P148" s="23">
        <v>10</v>
      </c>
      <c r="Q148" s="23">
        <v>8</v>
      </c>
      <c r="R148" s="23">
        <v>18</v>
      </c>
      <c r="S148" s="23">
        <v>28</v>
      </c>
      <c r="T148" s="23">
        <v>42</v>
      </c>
      <c r="U148" s="23">
        <v>65</v>
      </c>
      <c r="V148" s="23">
        <v>83</v>
      </c>
      <c r="W148" s="28">
        <v>72</v>
      </c>
    </row>
    <row r="149" spans="1:23" x14ac:dyDescent="0.25">
      <c r="A149" s="20">
        <v>52</v>
      </c>
      <c r="B149" s="27">
        <v>44925</v>
      </c>
      <c r="C149" s="23">
        <v>462</v>
      </c>
      <c r="D149" s="23">
        <v>0</v>
      </c>
      <c r="E149" s="23">
        <v>0</v>
      </c>
      <c r="F149" s="23">
        <v>0</v>
      </c>
      <c r="G149" s="23">
        <v>0</v>
      </c>
      <c r="H149" s="23">
        <v>1</v>
      </c>
      <c r="I149" s="23">
        <v>1</v>
      </c>
      <c r="J149" s="23">
        <v>0</v>
      </c>
      <c r="K149" s="23">
        <v>2</v>
      </c>
      <c r="L149" s="23">
        <v>0</v>
      </c>
      <c r="M149" s="23">
        <v>3</v>
      </c>
      <c r="N149" s="23">
        <v>3</v>
      </c>
      <c r="O149" s="23">
        <v>7</v>
      </c>
      <c r="P149" s="23">
        <v>5</v>
      </c>
      <c r="Q149" s="23">
        <v>17</v>
      </c>
      <c r="R149" s="23">
        <v>19</v>
      </c>
      <c r="S149" s="23">
        <v>41</v>
      </c>
      <c r="T149" s="23">
        <v>66</v>
      </c>
      <c r="U149" s="23">
        <v>83</v>
      </c>
      <c r="V149" s="23">
        <v>104</v>
      </c>
      <c r="W149" s="28">
        <v>110</v>
      </c>
    </row>
    <row r="150" spans="1:23" x14ac:dyDescent="0.25">
      <c r="A150" s="20">
        <v>1</v>
      </c>
      <c r="B150" s="27">
        <v>44932</v>
      </c>
      <c r="C150" s="23">
        <v>415</v>
      </c>
      <c r="D150" s="23">
        <v>0</v>
      </c>
      <c r="E150" s="23">
        <v>0</v>
      </c>
      <c r="F150" s="23">
        <v>0</v>
      </c>
      <c r="G150" s="23">
        <v>0</v>
      </c>
      <c r="H150" s="23">
        <v>0</v>
      </c>
      <c r="I150" s="23">
        <v>0</v>
      </c>
      <c r="J150" s="23">
        <v>1</v>
      </c>
      <c r="K150" s="23">
        <v>1</v>
      </c>
      <c r="L150" s="23">
        <v>1</v>
      </c>
      <c r="M150" s="23">
        <v>2</v>
      </c>
      <c r="N150" s="23">
        <v>1</v>
      </c>
      <c r="O150" s="23">
        <v>4</v>
      </c>
      <c r="P150" s="23">
        <v>6</v>
      </c>
      <c r="Q150" s="23">
        <v>10</v>
      </c>
      <c r="R150" s="23">
        <v>23</v>
      </c>
      <c r="S150" s="23">
        <v>38</v>
      </c>
      <c r="T150" s="23">
        <v>66</v>
      </c>
      <c r="U150" s="23">
        <v>79</v>
      </c>
      <c r="V150" s="23">
        <v>90</v>
      </c>
      <c r="W150" s="28">
        <v>93</v>
      </c>
    </row>
    <row r="151" spans="1:23" x14ac:dyDescent="0.25">
      <c r="A151" s="20">
        <v>2</v>
      </c>
      <c r="B151" s="27">
        <v>44939</v>
      </c>
      <c r="C151" s="23">
        <v>367</v>
      </c>
      <c r="D151" s="23">
        <v>0</v>
      </c>
      <c r="E151" s="23">
        <v>0</v>
      </c>
      <c r="F151" s="23">
        <v>0</v>
      </c>
      <c r="G151" s="23">
        <v>0</v>
      </c>
      <c r="H151" s="23">
        <v>0</v>
      </c>
      <c r="I151" s="23">
        <v>0</v>
      </c>
      <c r="J151" s="23">
        <v>0</v>
      </c>
      <c r="K151" s="23">
        <v>0</v>
      </c>
      <c r="L151" s="23">
        <v>0</v>
      </c>
      <c r="M151" s="23">
        <v>0</v>
      </c>
      <c r="N151" s="23">
        <v>3</v>
      </c>
      <c r="O151" s="23">
        <v>2</v>
      </c>
      <c r="P151" s="23">
        <v>7</v>
      </c>
      <c r="Q151" s="23">
        <v>16</v>
      </c>
      <c r="R151" s="23">
        <v>12</v>
      </c>
      <c r="S151" s="23">
        <v>29</v>
      </c>
      <c r="T151" s="23">
        <v>54</v>
      </c>
      <c r="U151" s="23">
        <v>67</v>
      </c>
      <c r="V151" s="23">
        <v>88</v>
      </c>
      <c r="W151" s="28">
        <v>89</v>
      </c>
    </row>
    <row r="152" spans="1:23" x14ac:dyDescent="0.25">
      <c r="A152" s="20">
        <v>3</v>
      </c>
      <c r="B152" s="27">
        <v>44946</v>
      </c>
      <c r="C152" s="23">
        <v>309</v>
      </c>
      <c r="D152" s="23">
        <v>0</v>
      </c>
      <c r="E152" s="23">
        <v>0</v>
      </c>
      <c r="F152" s="23">
        <v>0</v>
      </c>
      <c r="G152" s="23">
        <v>0</v>
      </c>
      <c r="H152" s="23">
        <v>0</v>
      </c>
      <c r="I152" s="23">
        <v>0</v>
      </c>
      <c r="J152" s="23">
        <v>0</v>
      </c>
      <c r="K152" s="23">
        <v>0</v>
      </c>
      <c r="L152" s="23">
        <v>1</v>
      </c>
      <c r="M152" s="23">
        <v>0</v>
      </c>
      <c r="N152" s="23">
        <v>1</v>
      </c>
      <c r="O152" s="23">
        <v>1</v>
      </c>
      <c r="P152" s="23">
        <v>6</v>
      </c>
      <c r="Q152" s="23">
        <v>10</v>
      </c>
      <c r="R152" s="23">
        <v>9</v>
      </c>
      <c r="S152" s="23">
        <v>26</v>
      </c>
      <c r="T152" s="23">
        <v>46</v>
      </c>
      <c r="U152" s="23">
        <v>70</v>
      </c>
      <c r="V152" s="23">
        <v>73</v>
      </c>
      <c r="W152" s="28">
        <v>66</v>
      </c>
    </row>
    <row r="153" spans="1:23" x14ac:dyDescent="0.25">
      <c r="A153" s="20">
        <v>4</v>
      </c>
      <c r="B153" s="27">
        <v>44953</v>
      </c>
      <c r="C153" s="23">
        <v>251</v>
      </c>
      <c r="D153" s="23">
        <v>0</v>
      </c>
      <c r="E153" s="23">
        <v>0</v>
      </c>
      <c r="F153" s="23">
        <v>0</v>
      </c>
      <c r="G153" s="23">
        <v>0</v>
      </c>
      <c r="H153" s="23">
        <v>0</v>
      </c>
      <c r="I153" s="23">
        <v>0</v>
      </c>
      <c r="J153" s="23">
        <v>0</v>
      </c>
      <c r="K153" s="23">
        <v>0</v>
      </c>
      <c r="L153" s="23">
        <v>0</v>
      </c>
      <c r="M153" s="23">
        <v>0</v>
      </c>
      <c r="N153" s="23">
        <v>1</v>
      </c>
      <c r="O153" s="23">
        <v>4</v>
      </c>
      <c r="P153" s="23">
        <v>3</v>
      </c>
      <c r="Q153" s="23">
        <v>8</v>
      </c>
      <c r="R153" s="23">
        <v>17</v>
      </c>
      <c r="S153" s="23">
        <v>15</v>
      </c>
      <c r="T153" s="23">
        <v>34</v>
      </c>
      <c r="U153" s="23">
        <v>53</v>
      </c>
      <c r="V153" s="23">
        <v>70</v>
      </c>
      <c r="W153" s="28">
        <v>46</v>
      </c>
    </row>
    <row r="154" spans="1:23" x14ac:dyDescent="0.25">
      <c r="A154" s="20">
        <v>5</v>
      </c>
      <c r="B154" s="27">
        <v>44960</v>
      </c>
      <c r="C154" s="23">
        <v>235</v>
      </c>
      <c r="D154" s="23">
        <v>1</v>
      </c>
      <c r="E154" s="23">
        <v>0</v>
      </c>
      <c r="F154" s="23">
        <v>0</v>
      </c>
      <c r="G154" s="23">
        <v>0</v>
      </c>
      <c r="H154" s="23">
        <v>0</v>
      </c>
      <c r="I154" s="23">
        <v>0</v>
      </c>
      <c r="J154" s="23">
        <v>1</v>
      </c>
      <c r="K154" s="23">
        <v>1</v>
      </c>
      <c r="L154" s="23">
        <v>0</v>
      </c>
      <c r="M154" s="23">
        <v>0</v>
      </c>
      <c r="N154" s="23">
        <v>0</v>
      </c>
      <c r="O154" s="23">
        <v>3</v>
      </c>
      <c r="P154" s="23">
        <v>4</v>
      </c>
      <c r="Q154" s="23">
        <v>8</v>
      </c>
      <c r="R154" s="23">
        <v>13</v>
      </c>
      <c r="S154" s="23">
        <v>16</v>
      </c>
      <c r="T154" s="23">
        <v>33</v>
      </c>
      <c r="U154" s="23">
        <v>47</v>
      </c>
      <c r="V154" s="23">
        <v>45</v>
      </c>
      <c r="W154" s="28">
        <v>63</v>
      </c>
    </row>
    <row r="155" spans="1:23" x14ac:dyDescent="0.25">
      <c r="A155" s="20">
        <v>6</v>
      </c>
      <c r="B155" s="27">
        <v>44967</v>
      </c>
      <c r="C155" s="23">
        <v>219</v>
      </c>
      <c r="D155" s="23">
        <v>0</v>
      </c>
      <c r="E155" s="23">
        <v>0</v>
      </c>
      <c r="F155" s="23">
        <v>0</v>
      </c>
      <c r="G155" s="23">
        <v>0</v>
      </c>
      <c r="H155" s="23">
        <v>0</v>
      </c>
      <c r="I155" s="23">
        <v>0</v>
      </c>
      <c r="J155" s="23">
        <v>0</v>
      </c>
      <c r="K155" s="23">
        <v>1</v>
      </c>
      <c r="L155" s="23">
        <v>1</v>
      </c>
      <c r="M155" s="23">
        <v>0</v>
      </c>
      <c r="N155" s="23">
        <v>1</v>
      </c>
      <c r="O155" s="23">
        <v>1</v>
      </c>
      <c r="P155" s="23">
        <v>3</v>
      </c>
      <c r="Q155" s="23">
        <v>14</v>
      </c>
      <c r="R155" s="23">
        <v>14</v>
      </c>
      <c r="S155" s="23">
        <v>24</v>
      </c>
      <c r="T155" s="23">
        <v>32</v>
      </c>
      <c r="U155" s="23">
        <v>43</v>
      </c>
      <c r="V155" s="23">
        <v>44</v>
      </c>
      <c r="W155" s="28">
        <v>41</v>
      </c>
    </row>
    <row r="156" spans="1:23" x14ac:dyDescent="0.25">
      <c r="A156" s="20">
        <v>7</v>
      </c>
      <c r="B156" s="27">
        <v>44974</v>
      </c>
      <c r="C156" s="23">
        <v>228</v>
      </c>
      <c r="D156" s="23">
        <v>0</v>
      </c>
      <c r="E156" s="23">
        <v>0</v>
      </c>
      <c r="F156" s="23">
        <v>0</v>
      </c>
      <c r="G156" s="23">
        <v>0</v>
      </c>
      <c r="H156" s="23">
        <v>0</v>
      </c>
      <c r="I156" s="23">
        <v>0</v>
      </c>
      <c r="J156" s="23">
        <v>0</v>
      </c>
      <c r="K156" s="23">
        <v>0</v>
      </c>
      <c r="L156" s="23">
        <v>0</v>
      </c>
      <c r="M156" s="23">
        <v>1</v>
      </c>
      <c r="N156" s="23">
        <v>3</v>
      </c>
      <c r="O156" s="23">
        <v>1</v>
      </c>
      <c r="P156" s="23">
        <v>7</v>
      </c>
      <c r="Q156" s="23">
        <v>6</v>
      </c>
      <c r="R156" s="23">
        <v>17</v>
      </c>
      <c r="S156" s="23">
        <v>24</v>
      </c>
      <c r="T156" s="23">
        <v>30</v>
      </c>
      <c r="U156" s="23">
        <v>47</v>
      </c>
      <c r="V156" s="23">
        <v>46</v>
      </c>
      <c r="W156" s="28">
        <v>46</v>
      </c>
    </row>
    <row r="157" spans="1:23" x14ac:dyDescent="0.25">
      <c r="A157" s="20">
        <v>8</v>
      </c>
      <c r="B157" s="27">
        <v>44981</v>
      </c>
      <c r="C157" s="23">
        <v>237</v>
      </c>
      <c r="D157" s="23">
        <v>0</v>
      </c>
      <c r="E157" s="23">
        <v>0</v>
      </c>
      <c r="F157" s="23">
        <v>0</v>
      </c>
      <c r="G157" s="23">
        <v>0</v>
      </c>
      <c r="H157" s="23">
        <v>0</v>
      </c>
      <c r="I157" s="23">
        <v>0</v>
      </c>
      <c r="J157" s="23">
        <v>0</v>
      </c>
      <c r="K157" s="23">
        <v>0</v>
      </c>
      <c r="L157" s="23">
        <v>0</v>
      </c>
      <c r="M157" s="23">
        <v>1</v>
      </c>
      <c r="N157" s="23">
        <v>0</v>
      </c>
      <c r="O157" s="23">
        <v>1</v>
      </c>
      <c r="P157" s="23">
        <v>7</v>
      </c>
      <c r="Q157" s="23">
        <v>5</v>
      </c>
      <c r="R157" s="23">
        <v>5</v>
      </c>
      <c r="S157" s="23">
        <v>26</v>
      </c>
      <c r="T157" s="23">
        <v>37</v>
      </c>
      <c r="U157" s="23">
        <v>47</v>
      </c>
      <c r="V157" s="23">
        <v>55</v>
      </c>
      <c r="W157" s="28">
        <v>53</v>
      </c>
    </row>
    <row r="158" spans="1:23" x14ac:dyDescent="0.25">
      <c r="A158" s="20">
        <v>9</v>
      </c>
      <c r="B158" s="27">
        <v>44988</v>
      </c>
      <c r="C158" s="23">
        <v>267</v>
      </c>
      <c r="D158" s="23">
        <v>0</v>
      </c>
      <c r="E158" s="23">
        <v>0</v>
      </c>
      <c r="F158" s="23">
        <v>0</v>
      </c>
      <c r="G158" s="23">
        <v>0</v>
      </c>
      <c r="H158" s="23">
        <v>0</v>
      </c>
      <c r="I158" s="23">
        <v>1</v>
      </c>
      <c r="J158" s="23">
        <v>1</v>
      </c>
      <c r="K158" s="23">
        <v>0</v>
      </c>
      <c r="L158" s="23">
        <v>3</v>
      </c>
      <c r="M158" s="23">
        <v>0</v>
      </c>
      <c r="N158" s="23">
        <v>1</v>
      </c>
      <c r="O158" s="23">
        <v>6</v>
      </c>
      <c r="P158" s="23">
        <v>6</v>
      </c>
      <c r="Q158" s="23">
        <v>8</v>
      </c>
      <c r="R158" s="23">
        <v>17</v>
      </c>
      <c r="S158" s="23">
        <v>20</v>
      </c>
      <c r="T158" s="23">
        <v>48</v>
      </c>
      <c r="U158" s="23">
        <v>62</v>
      </c>
      <c r="V158" s="23">
        <v>51</v>
      </c>
      <c r="W158" s="28">
        <v>43</v>
      </c>
    </row>
    <row r="159" spans="1:23" x14ac:dyDescent="0.25">
      <c r="A159" s="20">
        <v>10</v>
      </c>
      <c r="B159" s="27">
        <v>44995</v>
      </c>
      <c r="C159" s="23">
        <v>312</v>
      </c>
      <c r="D159" s="23">
        <v>0</v>
      </c>
      <c r="E159" s="23">
        <v>0</v>
      </c>
      <c r="F159" s="23">
        <v>0</v>
      </c>
      <c r="G159" s="23">
        <v>0</v>
      </c>
      <c r="H159" s="23">
        <v>0</v>
      </c>
      <c r="I159" s="23">
        <v>0</v>
      </c>
      <c r="J159" s="23">
        <v>0</v>
      </c>
      <c r="K159" s="23">
        <v>1</v>
      </c>
      <c r="L159" s="23">
        <v>2</v>
      </c>
      <c r="M159" s="23">
        <v>0</v>
      </c>
      <c r="N159" s="23">
        <v>4</v>
      </c>
      <c r="O159" s="23">
        <v>5</v>
      </c>
      <c r="P159" s="23">
        <v>5</v>
      </c>
      <c r="Q159" s="23">
        <v>5</v>
      </c>
      <c r="R159" s="23">
        <v>23</v>
      </c>
      <c r="S159" s="23">
        <v>30</v>
      </c>
      <c r="T159" s="23">
        <v>38</v>
      </c>
      <c r="U159" s="23">
        <v>52</v>
      </c>
      <c r="V159" s="23">
        <v>78</v>
      </c>
      <c r="W159" s="28">
        <v>69</v>
      </c>
    </row>
    <row r="160" spans="1:23" x14ac:dyDescent="0.25">
      <c r="A160" s="20">
        <v>11</v>
      </c>
      <c r="B160" s="27">
        <v>45002</v>
      </c>
      <c r="C160" s="23">
        <v>305</v>
      </c>
      <c r="D160" s="23">
        <v>0</v>
      </c>
      <c r="E160" s="23">
        <v>0</v>
      </c>
      <c r="F160" s="23">
        <v>1</v>
      </c>
      <c r="G160" s="23">
        <v>0</v>
      </c>
      <c r="H160" s="23">
        <v>0</v>
      </c>
      <c r="I160" s="23">
        <v>0</v>
      </c>
      <c r="J160" s="23">
        <v>0</v>
      </c>
      <c r="K160" s="23">
        <v>1</v>
      </c>
      <c r="L160" s="23">
        <v>2</v>
      </c>
      <c r="M160" s="23">
        <v>2</v>
      </c>
      <c r="N160" s="23">
        <v>2</v>
      </c>
      <c r="O160" s="23">
        <v>3</v>
      </c>
      <c r="P160" s="23">
        <v>5</v>
      </c>
      <c r="Q160" s="23">
        <v>9</v>
      </c>
      <c r="R160" s="23">
        <v>17</v>
      </c>
      <c r="S160" s="23">
        <v>20</v>
      </c>
      <c r="T160" s="23">
        <v>44</v>
      </c>
      <c r="U160" s="23">
        <v>55</v>
      </c>
      <c r="V160" s="23">
        <v>69</v>
      </c>
      <c r="W160" s="28">
        <v>75</v>
      </c>
    </row>
    <row r="161" spans="1:23" x14ac:dyDescent="0.25">
      <c r="A161" s="20">
        <v>12</v>
      </c>
      <c r="B161" s="27">
        <v>45009</v>
      </c>
      <c r="C161" s="23">
        <v>328</v>
      </c>
      <c r="D161" s="23">
        <v>1</v>
      </c>
      <c r="E161" s="23">
        <v>0</v>
      </c>
      <c r="F161" s="23">
        <v>0</v>
      </c>
      <c r="G161" s="23">
        <v>0</v>
      </c>
      <c r="H161" s="23">
        <v>1</v>
      </c>
      <c r="I161" s="23">
        <v>0</v>
      </c>
      <c r="J161" s="23">
        <v>1</v>
      </c>
      <c r="K161" s="23">
        <v>0</v>
      </c>
      <c r="L161" s="23">
        <v>0</v>
      </c>
      <c r="M161" s="23">
        <v>0</v>
      </c>
      <c r="N161" s="23">
        <v>0</v>
      </c>
      <c r="O161" s="23">
        <v>3</v>
      </c>
      <c r="P161" s="23">
        <v>4</v>
      </c>
      <c r="Q161" s="23">
        <v>6</v>
      </c>
      <c r="R161" s="23">
        <v>19</v>
      </c>
      <c r="S161" s="23">
        <v>28</v>
      </c>
      <c r="T161" s="23">
        <v>52</v>
      </c>
      <c r="U161" s="23">
        <v>57</v>
      </c>
      <c r="V161" s="23">
        <v>75</v>
      </c>
      <c r="W161" s="28">
        <v>81</v>
      </c>
    </row>
    <row r="162" spans="1:23" x14ac:dyDescent="0.25">
      <c r="A162" s="20">
        <v>13</v>
      </c>
      <c r="B162" s="27">
        <v>45016</v>
      </c>
      <c r="C162" s="23">
        <v>314</v>
      </c>
      <c r="D162" s="23">
        <v>0</v>
      </c>
      <c r="E162" s="23">
        <v>0</v>
      </c>
      <c r="F162" s="23">
        <v>0</v>
      </c>
      <c r="G162" s="23">
        <v>0</v>
      </c>
      <c r="H162" s="23">
        <v>0</v>
      </c>
      <c r="I162" s="23">
        <v>0</v>
      </c>
      <c r="J162" s="23">
        <v>0</v>
      </c>
      <c r="K162" s="23">
        <v>0</v>
      </c>
      <c r="L162" s="23">
        <v>0</v>
      </c>
      <c r="M162" s="23">
        <v>0</v>
      </c>
      <c r="N162" s="23">
        <v>1</v>
      </c>
      <c r="O162" s="23">
        <v>2</v>
      </c>
      <c r="P162" s="23">
        <v>5</v>
      </c>
      <c r="Q162" s="23">
        <v>11</v>
      </c>
      <c r="R162" s="23">
        <v>14</v>
      </c>
      <c r="S162" s="23">
        <v>23</v>
      </c>
      <c r="T162" s="23">
        <v>43</v>
      </c>
      <c r="U162" s="23">
        <v>77</v>
      </c>
      <c r="V162" s="23">
        <v>79</v>
      </c>
      <c r="W162" s="28">
        <v>59</v>
      </c>
    </row>
    <row r="163" spans="1:23" x14ac:dyDescent="0.25">
      <c r="A163" s="20">
        <v>14</v>
      </c>
      <c r="B163" s="27">
        <v>45023</v>
      </c>
      <c r="C163" s="23">
        <v>292</v>
      </c>
      <c r="D163" s="23">
        <v>0</v>
      </c>
      <c r="E163" s="23">
        <v>0</v>
      </c>
      <c r="F163" s="23">
        <v>0</v>
      </c>
      <c r="G163" s="23">
        <v>0</v>
      </c>
      <c r="H163" s="23">
        <v>0</v>
      </c>
      <c r="I163" s="23">
        <v>0</v>
      </c>
      <c r="J163" s="23">
        <v>0</v>
      </c>
      <c r="K163" s="23">
        <v>1</v>
      </c>
      <c r="L163" s="23">
        <v>0</v>
      </c>
      <c r="M163" s="23">
        <v>2</v>
      </c>
      <c r="N163" s="23">
        <v>1</v>
      </c>
      <c r="O163" s="23">
        <v>2</v>
      </c>
      <c r="P163" s="23">
        <v>2</v>
      </c>
      <c r="Q163" s="23">
        <v>13</v>
      </c>
      <c r="R163" s="23">
        <v>15</v>
      </c>
      <c r="S163" s="23">
        <v>20</v>
      </c>
      <c r="T163" s="23">
        <v>37</v>
      </c>
      <c r="U163" s="23">
        <v>66</v>
      </c>
      <c r="V163" s="23">
        <v>70</v>
      </c>
      <c r="W163" s="28">
        <v>63</v>
      </c>
    </row>
    <row r="164" spans="1:23" x14ac:dyDescent="0.25">
      <c r="A164" s="20">
        <v>15</v>
      </c>
      <c r="B164" s="27">
        <v>45030</v>
      </c>
      <c r="C164" s="23">
        <v>234</v>
      </c>
      <c r="D164" s="23">
        <v>0</v>
      </c>
      <c r="E164" s="23">
        <v>0</v>
      </c>
      <c r="F164" s="23">
        <v>0</v>
      </c>
      <c r="G164" s="23">
        <v>0</v>
      </c>
      <c r="H164" s="23">
        <v>0</v>
      </c>
      <c r="I164" s="23">
        <v>0</v>
      </c>
      <c r="J164" s="23">
        <v>0</v>
      </c>
      <c r="K164" s="23">
        <v>1</v>
      </c>
      <c r="L164" s="23">
        <v>1</v>
      </c>
      <c r="M164" s="23">
        <v>0</v>
      </c>
      <c r="N164" s="23">
        <v>2</v>
      </c>
      <c r="O164" s="23">
        <v>5</v>
      </c>
      <c r="P164" s="23">
        <v>3</v>
      </c>
      <c r="Q164" s="23">
        <v>9</v>
      </c>
      <c r="R164" s="23">
        <v>8</v>
      </c>
      <c r="S164" s="23">
        <v>17</v>
      </c>
      <c r="T164" s="23">
        <v>35</v>
      </c>
      <c r="U164" s="23">
        <v>49</v>
      </c>
      <c r="V164" s="23">
        <v>55</v>
      </c>
      <c r="W164" s="28">
        <v>49</v>
      </c>
    </row>
    <row r="165" spans="1:23" x14ac:dyDescent="0.25">
      <c r="A165" s="20">
        <v>16</v>
      </c>
      <c r="B165" s="27">
        <v>45037</v>
      </c>
      <c r="C165" s="23">
        <v>237</v>
      </c>
      <c r="D165" s="23">
        <v>0</v>
      </c>
      <c r="E165" s="23">
        <v>0</v>
      </c>
      <c r="F165" s="23">
        <v>0</v>
      </c>
      <c r="G165" s="23">
        <v>0</v>
      </c>
      <c r="H165" s="23">
        <v>0</v>
      </c>
      <c r="I165" s="23">
        <v>0</v>
      </c>
      <c r="J165" s="23">
        <v>0</v>
      </c>
      <c r="K165" s="23">
        <v>0</v>
      </c>
      <c r="L165" s="23">
        <v>0</v>
      </c>
      <c r="M165" s="23">
        <v>0</v>
      </c>
      <c r="N165" s="23">
        <v>2</v>
      </c>
      <c r="O165" s="23">
        <v>3</v>
      </c>
      <c r="P165" s="23">
        <v>8</v>
      </c>
      <c r="Q165" s="23">
        <v>6</v>
      </c>
      <c r="R165" s="23">
        <v>9</v>
      </c>
      <c r="S165" s="23">
        <v>19</v>
      </c>
      <c r="T165" s="23">
        <v>45</v>
      </c>
      <c r="U165" s="23">
        <v>44</v>
      </c>
      <c r="V165" s="23">
        <v>48</v>
      </c>
      <c r="W165" s="28">
        <v>53</v>
      </c>
    </row>
    <row r="166" spans="1:23" x14ac:dyDescent="0.25">
      <c r="A166" s="20">
        <v>17</v>
      </c>
      <c r="B166" s="27">
        <v>45044</v>
      </c>
      <c r="C166" s="23">
        <v>189</v>
      </c>
      <c r="D166" s="23">
        <v>0</v>
      </c>
      <c r="E166" s="23">
        <v>0</v>
      </c>
      <c r="F166" s="23">
        <v>0</v>
      </c>
      <c r="G166" s="23">
        <v>0</v>
      </c>
      <c r="H166" s="23">
        <v>0</v>
      </c>
      <c r="I166" s="23">
        <v>0</v>
      </c>
      <c r="J166" s="23">
        <v>0</v>
      </c>
      <c r="K166" s="23">
        <v>0</v>
      </c>
      <c r="L166" s="23">
        <v>0</v>
      </c>
      <c r="M166" s="23">
        <v>1</v>
      </c>
      <c r="N166" s="23">
        <v>2</v>
      </c>
      <c r="O166" s="23">
        <v>1</v>
      </c>
      <c r="P166" s="23">
        <v>4</v>
      </c>
      <c r="Q166" s="23">
        <v>8</v>
      </c>
      <c r="R166" s="23">
        <v>17</v>
      </c>
      <c r="S166" s="23">
        <v>7</v>
      </c>
      <c r="T166" s="23">
        <v>25</v>
      </c>
      <c r="U166" s="23">
        <v>34</v>
      </c>
      <c r="V166" s="23">
        <v>45</v>
      </c>
      <c r="W166" s="28">
        <v>45</v>
      </c>
    </row>
    <row r="167" spans="1:23" x14ac:dyDescent="0.25">
      <c r="A167" s="20">
        <v>18</v>
      </c>
      <c r="B167" s="27">
        <v>45051</v>
      </c>
      <c r="C167" s="23">
        <v>169</v>
      </c>
      <c r="D167" s="23">
        <v>0</v>
      </c>
      <c r="E167" s="23">
        <v>0</v>
      </c>
      <c r="F167" s="23">
        <v>0</v>
      </c>
      <c r="G167" s="23">
        <v>0</v>
      </c>
      <c r="H167" s="23">
        <v>0</v>
      </c>
      <c r="I167" s="23">
        <v>0</v>
      </c>
      <c r="J167" s="23">
        <v>0</v>
      </c>
      <c r="K167" s="23">
        <v>0</v>
      </c>
      <c r="L167" s="23">
        <v>0</v>
      </c>
      <c r="M167" s="23">
        <v>0</v>
      </c>
      <c r="N167" s="23">
        <v>0</v>
      </c>
      <c r="O167" s="23">
        <v>2</v>
      </c>
      <c r="P167" s="23">
        <v>5</v>
      </c>
      <c r="Q167" s="23">
        <v>6</v>
      </c>
      <c r="R167" s="23">
        <v>4</v>
      </c>
      <c r="S167" s="23">
        <v>13</v>
      </c>
      <c r="T167" s="23">
        <v>29</v>
      </c>
      <c r="U167" s="23">
        <v>34</v>
      </c>
      <c r="V167" s="23">
        <v>37</v>
      </c>
      <c r="W167" s="28">
        <v>39</v>
      </c>
    </row>
    <row r="168" spans="1:23" x14ac:dyDescent="0.25">
      <c r="A168" s="20">
        <v>19</v>
      </c>
      <c r="B168" s="27">
        <v>45058</v>
      </c>
      <c r="C168" s="23">
        <v>151</v>
      </c>
      <c r="D168" s="23">
        <v>0</v>
      </c>
      <c r="E168" s="23">
        <v>0</v>
      </c>
      <c r="F168" s="23">
        <v>0</v>
      </c>
      <c r="G168" s="23">
        <v>0</v>
      </c>
      <c r="H168" s="23">
        <v>0</v>
      </c>
      <c r="I168" s="23">
        <v>0</v>
      </c>
      <c r="J168" s="23">
        <v>0</v>
      </c>
      <c r="K168" s="23">
        <v>1</v>
      </c>
      <c r="L168" s="23">
        <v>0</v>
      </c>
      <c r="M168" s="23">
        <v>0</v>
      </c>
      <c r="N168" s="23">
        <v>0</v>
      </c>
      <c r="O168" s="23">
        <v>0</v>
      </c>
      <c r="P168" s="23">
        <v>3</v>
      </c>
      <c r="Q168" s="23">
        <v>3</v>
      </c>
      <c r="R168" s="23">
        <v>13</v>
      </c>
      <c r="S168" s="23">
        <v>12</v>
      </c>
      <c r="T168" s="23">
        <v>23</v>
      </c>
      <c r="U168" s="23">
        <v>21</v>
      </c>
      <c r="V168" s="23">
        <v>37</v>
      </c>
      <c r="W168" s="28">
        <v>38</v>
      </c>
    </row>
    <row r="169" spans="1:23" x14ac:dyDescent="0.25">
      <c r="A169" s="20">
        <v>20</v>
      </c>
      <c r="B169" s="27">
        <v>45065</v>
      </c>
      <c r="C169" s="23">
        <v>152</v>
      </c>
      <c r="D169" s="23">
        <v>0</v>
      </c>
      <c r="E169" s="23">
        <v>0</v>
      </c>
      <c r="F169" s="23">
        <v>0</v>
      </c>
      <c r="G169" s="23">
        <v>0</v>
      </c>
      <c r="H169" s="23">
        <v>0</v>
      </c>
      <c r="I169" s="23">
        <v>0</v>
      </c>
      <c r="J169" s="23">
        <v>0</v>
      </c>
      <c r="K169" s="23">
        <v>0</v>
      </c>
      <c r="L169" s="23">
        <v>0</v>
      </c>
      <c r="M169" s="23">
        <v>0</v>
      </c>
      <c r="N169" s="23">
        <v>0</v>
      </c>
      <c r="O169" s="23">
        <v>3</v>
      </c>
      <c r="P169" s="23">
        <v>3</v>
      </c>
      <c r="Q169" s="23">
        <v>7</v>
      </c>
      <c r="R169" s="23">
        <v>11</v>
      </c>
      <c r="S169" s="23">
        <v>15</v>
      </c>
      <c r="T169" s="23">
        <v>18</v>
      </c>
      <c r="U169" s="23">
        <v>39</v>
      </c>
      <c r="V169" s="23">
        <v>29</v>
      </c>
      <c r="W169" s="28">
        <v>27</v>
      </c>
    </row>
    <row r="170" spans="1:23" x14ac:dyDescent="0.25">
      <c r="A170" s="20">
        <v>21</v>
      </c>
      <c r="B170" s="27">
        <v>45072</v>
      </c>
      <c r="C170" s="23">
        <v>117</v>
      </c>
      <c r="D170" s="23">
        <v>0</v>
      </c>
      <c r="E170" s="23">
        <v>0</v>
      </c>
      <c r="F170" s="23">
        <v>0</v>
      </c>
      <c r="G170" s="23">
        <v>0</v>
      </c>
      <c r="H170" s="23">
        <v>0</v>
      </c>
      <c r="I170" s="23">
        <v>0</v>
      </c>
      <c r="J170" s="23">
        <v>0</v>
      </c>
      <c r="K170" s="23">
        <v>0</v>
      </c>
      <c r="L170" s="23">
        <v>0</v>
      </c>
      <c r="M170" s="23">
        <v>1</v>
      </c>
      <c r="N170" s="23">
        <v>0</v>
      </c>
      <c r="O170" s="23">
        <v>1</v>
      </c>
      <c r="P170" s="23">
        <v>3</v>
      </c>
      <c r="Q170" s="23">
        <v>1</v>
      </c>
      <c r="R170" s="23">
        <v>6</v>
      </c>
      <c r="S170" s="23">
        <v>7</v>
      </c>
      <c r="T170" s="23">
        <v>21</v>
      </c>
      <c r="U170" s="23">
        <v>26</v>
      </c>
      <c r="V170" s="23">
        <v>26</v>
      </c>
      <c r="W170" s="28">
        <v>25</v>
      </c>
    </row>
    <row r="171" spans="1:23" x14ac:dyDescent="0.25">
      <c r="A171" s="20">
        <v>22</v>
      </c>
      <c r="B171" s="27">
        <v>45079</v>
      </c>
      <c r="C171" s="23">
        <v>106</v>
      </c>
      <c r="D171" s="23">
        <v>0</v>
      </c>
      <c r="E171" s="23">
        <v>0</v>
      </c>
      <c r="F171" s="23">
        <v>0</v>
      </c>
      <c r="G171" s="23">
        <v>0</v>
      </c>
      <c r="H171" s="23">
        <v>0</v>
      </c>
      <c r="I171" s="23">
        <v>0</v>
      </c>
      <c r="J171" s="23">
        <v>0</v>
      </c>
      <c r="K171" s="23">
        <v>1</v>
      </c>
      <c r="L171" s="23">
        <v>0</v>
      </c>
      <c r="M171" s="23">
        <v>0</v>
      </c>
      <c r="N171" s="23">
        <v>0</v>
      </c>
      <c r="O171" s="23">
        <v>0</v>
      </c>
      <c r="P171" s="23">
        <v>0</v>
      </c>
      <c r="Q171" s="23">
        <v>3</v>
      </c>
      <c r="R171" s="23">
        <v>5</v>
      </c>
      <c r="S171" s="23">
        <v>11</v>
      </c>
      <c r="T171" s="23">
        <v>20</v>
      </c>
      <c r="U171" s="23">
        <v>20</v>
      </c>
      <c r="V171" s="23">
        <v>22</v>
      </c>
      <c r="W171" s="28">
        <v>24</v>
      </c>
    </row>
    <row r="172" spans="1:23" x14ac:dyDescent="0.25">
      <c r="A172" s="20">
        <v>23</v>
      </c>
      <c r="B172" s="27">
        <v>45086</v>
      </c>
      <c r="C172" s="23">
        <v>86</v>
      </c>
      <c r="D172" s="23">
        <v>0</v>
      </c>
      <c r="E172" s="23">
        <v>0</v>
      </c>
      <c r="F172" s="23">
        <v>0</v>
      </c>
      <c r="G172" s="23">
        <v>0</v>
      </c>
      <c r="H172" s="23">
        <v>0</v>
      </c>
      <c r="I172" s="23">
        <v>0</v>
      </c>
      <c r="J172" s="23">
        <v>0</v>
      </c>
      <c r="K172" s="23">
        <v>0</v>
      </c>
      <c r="L172" s="23">
        <v>0</v>
      </c>
      <c r="M172" s="23">
        <v>0</v>
      </c>
      <c r="N172" s="23">
        <v>1</v>
      </c>
      <c r="O172" s="23">
        <v>3</v>
      </c>
      <c r="P172" s="23">
        <v>6</v>
      </c>
      <c r="Q172" s="23">
        <v>3</v>
      </c>
      <c r="R172" s="23">
        <v>2</v>
      </c>
      <c r="S172" s="23">
        <v>10</v>
      </c>
      <c r="T172" s="23">
        <v>13</v>
      </c>
      <c r="U172" s="23">
        <v>13</v>
      </c>
      <c r="V172" s="23">
        <v>19</v>
      </c>
      <c r="W172" s="28">
        <v>16</v>
      </c>
    </row>
    <row r="173" spans="1:23" x14ac:dyDescent="0.25">
      <c r="A173" s="20">
        <v>24</v>
      </c>
      <c r="B173" s="27">
        <v>45093</v>
      </c>
      <c r="C173" s="23">
        <v>94</v>
      </c>
      <c r="D173" s="23">
        <v>1</v>
      </c>
      <c r="E173" s="23">
        <v>0</v>
      </c>
      <c r="F173" s="23">
        <v>0</v>
      </c>
      <c r="G173" s="23">
        <v>0</v>
      </c>
      <c r="H173" s="23">
        <v>0</v>
      </c>
      <c r="I173" s="23">
        <v>0</v>
      </c>
      <c r="J173" s="23">
        <v>0</v>
      </c>
      <c r="K173" s="23">
        <v>0</v>
      </c>
      <c r="L173" s="23">
        <v>0</v>
      </c>
      <c r="M173" s="23">
        <v>0</v>
      </c>
      <c r="N173" s="23">
        <v>0</v>
      </c>
      <c r="O173" s="23">
        <v>0</v>
      </c>
      <c r="P173" s="23">
        <v>1</v>
      </c>
      <c r="Q173" s="23">
        <v>2</v>
      </c>
      <c r="R173" s="23">
        <v>8</v>
      </c>
      <c r="S173" s="23">
        <v>3</v>
      </c>
      <c r="T173" s="23">
        <v>16</v>
      </c>
      <c r="U173" s="23">
        <v>22</v>
      </c>
      <c r="V173" s="23">
        <v>18</v>
      </c>
      <c r="W173" s="28">
        <v>23</v>
      </c>
    </row>
    <row r="174" spans="1:23" x14ac:dyDescent="0.25">
      <c r="A174" s="20">
        <v>25</v>
      </c>
      <c r="B174" s="27">
        <v>45100</v>
      </c>
      <c r="C174" s="23">
        <v>55</v>
      </c>
      <c r="D174" s="23">
        <v>0</v>
      </c>
      <c r="E174" s="23">
        <v>0</v>
      </c>
      <c r="F174" s="23">
        <v>0</v>
      </c>
      <c r="G174" s="23">
        <v>0</v>
      </c>
      <c r="H174" s="23">
        <v>0</v>
      </c>
      <c r="I174" s="23">
        <v>0</v>
      </c>
      <c r="J174" s="23">
        <v>0</v>
      </c>
      <c r="K174" s="23">
        <v>0</v>
      </c>
      <c r="L174" s="23">
        <v>0</v>
      </c>
      <c r="M174" s="23">
        <v>1</v>
      </c>
      <c r="N174" s="23">
        <v>1</v>
      </c>
      <c r="O174" s="23">
        <v>0</v>
      </c>
      <c r="P174" s="23">
        <v>0</v>
      </c>
      <c r="Q174" s="23">
        <v>3</v>
      </c>
      <c r="R174" s="23">
        <v>4</v>
      </c>
      <c r="S174" s="23">
        <v>5</v>
      </c>
      <c r="T174" s="23">
        <v>8</v>
      </c>
      <c r="U174" s="23">
        <v>14</v>
      </c>
      <c r="V174" s="23">
        <v>12</v>
      </c>
      <c r="W174" s="28">
        <v>7</v>
      </c>
    </row>
    <row r="175" spans="1:23" x14ac:dyDescent="0.25">
      <c r="A175" s="20">
        <v>26</v>
      </c>
      <c r="B175" s="27">
        <v>45107</v>
      </c>
      <c r="C175" s="23">
        <v>45</v>
      </c>
      <c r="D175" s="23">
        <v>0</v>
      </c>
      <c r="E175" s="23">
        <v>0</v>
      </c>
      <c r="F175" s="23">
        <v>0</v>
      </c>
      <c r="G175" s="23">
        <v>0</v>
      </c>
      <c r="H175" s="23">
        <v>0</v>
      </c>
      <c r="I175" s="23">
        <v>0</v>
      </c>
      <c r="J175" s="23">
        <v>0</v>
      </c>
      <c r="K175" s="23">
        <v>0</v>
      </c>
      <c r="L175" s="23">
        <v>0</v>
      </c>
      <c r="M175" s="23">
        <v>0</v>
      </c>
      <c r="N175" s="23">
        <v>0</v>
      </c>
      <c r="O175" s="23">
        <v>0</v>
      </c>
      <c r="P175" s="23">
        <v>2</v>
      </c>
      <c r="Q175" s="23">
        <v>4</v>
      </c>
      <c r="R175" s="23">
        <v>0</v>
      </c>
      <c r="S175" s="23">
        <v>3</v>
      </c>
      <c r="T175" s="23">
        <v>4</v>
      </c>
      <c r="U175" s="23">
        <v>10</v>
      </c>
      <c r="V175" s="23">
        <v>10</v>
      </c>
      <c r="W175" s="28">
        <v>12</v>
      </c>
    </row>
    <row r="176" spans="1:23" x14ac:dyDescent="0.25">
      <c r="A176" s="20">
        <v>27</v>
      </c>
      <c r="B176" s="27">
        <v>45114</v>
      </c>
      <c r="C176" s="23">
        <v>39</v>
      </c>
      <c r="D176" s="23">
        <v>0</v>
      </c>
      <c r="E176" s="23">
        <v>0</v>
      </c>
      <c r="F176" s="23">
        <v>0</v>
      </c>
      <c r="G176" s="23">
        <v>0</v>
      </c>
      <c r="H176" s="23">
        <v>0</v>
      </c>
      <c r="I176" s="23">
        <v>0</v>
      </c>
      <c r="J176" s="23">
        <v>0</v>
      </c>
      <c r="K176" s="23">
        <v>0</v>
      </c>
      <c r="L176" s="23">
        <v>0</v>
      </c>
      <c r="M176" s="23">
        <v>0</v>
      </c>
      <c r="N176" s="23">
        <v>0</v>
      </c>
      <c r="O176" s="23">
        <v>0</v>
      </c>
      <c r="P176" s="23">
        <v>0</v>
      </c>
      <c r="Q176" s="23">
        <v>1</v>
      </c>
      <c r="R176" s="23">
        <v>3</v>
      </c>
      <c r="S176" s="23">
        <v>6</v>
      </c>
      <c r="T176" s="23">
        <v>5</v>
      </c>
      <c r="U176" s="23">
        <v>7</v>
      </c>
      <c r="V176" s="23">
        <v>8</v>
      </c>
      <c r="W176" s="28">
        <v>9</v>
      </c>
    </row>
    <row r="177" spans="1:23" x14ac:dyDescent="0.25">
      <c r="A177" s="20">
        <v>28</v>
      </c>
      <c r="B177" s="27">
        <v>45121</v>
      </c>
      <c r="C177" s="23">
        <v>29</v>
      </c>
      <c r="D177" s="23">
        <v>0</v>
      </c>
      <c r="E177" s="23">
        <v>0</v>
      </c>
      <c r="F177" s="23">
        <v>1</v>
      </c>
      <c r="G177" s="23">
        <v>0</v>
      </c>
      <c r="H177" s="23">
        <v>0</v>
      </c>
      <c r="I177" s="23">
        <v>0</v>
      </c>
      <c r="J177" s="23">
        <v>0</v>
      </c>
      <c r="K177" s="23">
        <v>0</v>
      </c>
      <c r="L177" s="23">
        <v>0</v>
      </c>
      <c r="M177" s="23">
        <v>0</v>
      </c>
      <c r="N177" s="23">
        <v>1</v>
      </c>
      <c r="O177" s="23">
        <v>0</v>
      </c>
      <c r="P177" s="23">
        <v>2</v>
      </c>
      <c r="Q177" s="23">
        <v>0</v>
      </c>
      <c r="R177" s="23">
        <v>1</v>
      </c>
      <c r="S177" s="23">
        <v>4</v>
      </c>
      <c r="T177" s="23">
        <v>3</v>
      </c>
      <c r="U177" s="23">
        <v>5</v>
      </c>
      <c r="V177" s="23">
        <v>9</v>
      </c>
      <c r="W177" s="28">
        <v>3</v>
      </c>
    </row>
    <row r="178" spans="1:23" x14ac:dyDescent="0.25">
      <c r="A178" s="20">
        <v>29</v>
      </c>
      <c r="B178" s="27">
        <v>45128</v>
      </c>
      <c r="C178" s="23">
        <v>30</v>
      </c>
      <c r="D178" s="23">
        <v>0</v>
      </c>
      <c r="E178" s="23">
        <v>0</v>
      </c>
      <c r="F178" s="23">
        <v>0</v>
      </c>
      <c r="G178" s="23">
        <v>0</v>
      </c>
      <c r="H178" s="23">
        <v>0</v>
      </c>
      <c r="I178" s="23">
        <v>0</v>
      </c>
      <c r="J178" s="23">
        <v>1</v>
      </c>
      <c r="K178" s="23">
        <v>0</v>
      </c>
      <c r="L178" s="23">
        <v>0</v>
      </c>
      <c r="M178" s="23">
        <v>0</v>
      </c>
      <c r="N178" s="23">
        <v>0</v>
      </c>
      <c r="O178" s="23">
        <v>2</v>
      </c>
      <c r="P178" s="23">
        <v>2</v>
      </c>
      <c r="Q178" s="23">
        <v>2</v>
      </c>
      <c r="R178" s="23">
        <v>2</v>
      </c>
      <c r="S178" s="23">
        <v>3</v>
      </c>
      <c r="T178" s="23">
        <v>6</v>
      </c>
      <c r="U178" s="23">
        <v>3</v>
      </c>
      <c r="V178" s="23">
        <v>5</v>
      </c>
      <c r="W178" s="28">
        <v>4</v>
      </c>
    </row>
    <row r="179" spans="1:23" x14ac:dyDescent="0.25">
      <c r="A179" s="20">
        <v>30</v>
      </c>
      <c r="B179" s="27">
        <v>45135</v>
      </c>
      <c r="C179" s="23">
        <v>42</v>
      </c>
      <c r="D179" s="23">
        <v>0</v>
      </c>
      <c r="E179" s="23">
        <v>0</v>
      </c>
      <c r="F179" s="23">
        <v>0</v>
      </c>
      <c r="G179" s="23">
        <v>0</v>
      </c>
      <c r="H179" s="23">
        <v>0</v>
      </c>
      <c r="I179" s="23">
        <v>0</v>
      </c>
      <c r="J179" s="23">
        <v>1</v>
      </c>
      <c r="K179" s="23">
        <v>0</v>
      </c>
      <c r="L179" s="23">
        <v>0</v>
      </c>
      <c r="M179" s="23">
        <v>0</v>
      </c>
      <c r="N179" s="23">
        <v>0</v>
      </c>
      <c r="O179" s="23">
        <v>0</v>
      </c>
      <c r="P179" s="23">
        <v>1</v>
      </c>
      <c r="Q179" s="23">
        <v>3</v>
      </c>
      <c r="R179" s="23">
        <v>2</v>
      </c>
      <c r="S179" s="23">
        <v>5</v>
      </c>
      <c r="T179" s="23">
        <v>3</v>
      </c>
      <c r="U179" s="23">
        <v>6</v>
      </c>
      <c r="V179" s="23">
        <v>10</v>
      </c>
      <c r="W179" s="28">
        <v>11</v>
      </c>
    </row>
    <row r="180" spans="1:23" x14ac:dyDescent="0.25">
      <c r="A180" s="20">
        <v>31</v>
      </c>
      <c r="B180" s="27">
        <v>45142</v>
      </c>
      <c r="C180" s="23">
        <v>46</v>
      </c>
      <c r="D180" s="23">
        <v>0</v>
      </c>
      <c r="E180" s="23">
        <v>1</v>
      </c>
      <c r="F180" s="23">
        <v>0</v>
      </c>
      <c r="G180" s="23">
        <v>0</v>
      </c>
      <c r="H180" s="23">
        <v>0</v>
      </c>
      <c r="I180" s="23">
        <v>0</v>
      </c>
      <c r="J180" s="23">
        <v>1</v>
      </c>
      <c r="K180" s="23">
        <v>0</v>
      </c>
      <c r="L180" s="23">
        <v>0</v>
      </c>
      <c r="M180" s="23">
        <v>0</v>
      </c>
      <c r="N180" s="23">
        <v>0</v>
      </c>
      <c r="O180" s="23">
        <v>0</v>
      </c>
      <c r="P180" s="23">
        <v>0</v>
      </c>
      <c r="Q180" s="23">
        <v>1</v>
      </c>
      <c r="R180" s="23">
        <v>1</v>
      </c>
      <c r="S180" s="23">
        <v>8</v>
      </c>
      <c r="T180" s="23">
        <v>6</v>
      </c>
      <c r="U180" s="23">
        <v>7</v>
      </c>
      <c r="V180" s="23">
        <v>16</v>
      </c>
      <c r="W180" s="28">
        <v>5</v>
      </c>
    </row>
    <row r="181" spans="1:23" x14ac:dyDescent="0.25">
      <c r="A181" s="20">
        <v>32</v>
      </c>
      <c r="B181" s="27">
        <v>45149</v>
      </c>
      <c r="C181" s="23">
        <v>84</v>
      </c>
      <c r="D181" s="23">
        <v>0</v>
      </c>
      <c r="E181" s="23">
        <v>0</v>
      </c>
      <c r="F181" s="23">
        <v>0</v>
      </c>
      <c r="G181" s="23">
        <v>0</v>
      </c>
      <c r="H181" s="23">
        <v>0</v>
      </c>
      <c r="I181" s="23">
        <v>0</v>
      </c>
      <c r="J181" s="23">
        <v>0</v>
      </c>
      <c r="K181" s="23">
        <v>0</v>
      </c>
      <c r="L181" s="23">
        <v>0</v>
      </c>
      <c r="M181" s="23">
        <v>1</v>
      </c>
      <c r="N181" s="23">
        <v>0</v>
      </c>
      <c r="O181" s="23">
        <v>5</v>
      </c>
      <c r="P181" s="23">
        <v>0</v>
      </c>
      <c r="Q181" s="23">
        <v>1</v>
      </c>
      <c r="R181" s="23">
        <v>3</v>
      </c>
      <c r="S181" s="23">
        <v>6</v>
      </c>
      <c r="T181" s="23">
        <v>20</v>
      </c>
      <c r="U181" s="23">
        <v>13</v>
      </c>
      <c r="V181" s="23">
        <v>22</v>
      </c>
      <c r="W181" s="28">
        <v>13</v>
      </c>
    </row>
    <row r="182" spans="1:23" x14ac:dyDescent="0.25">
      <c r="A182" s="20">
        <v>33</v>
      </c>
      <c r="B182" s="27">
        <v>45156</v>
      </c>
      <c r="C182" s="23">
        <v>98</v>
      </c>
      <c r="D182" s="23">
        <v>0</v>
      </c>
      <c r="E182" s="23">
        <v>0</v>
      </c>
      <c r="F182" s="23">
        <v>0</v>
      </c>
      <c r="G182" s="23">
        <v>0</v>
      </c>
      <c r="H182" s="23">
        <v>0</v>
      </c>
      <c r="I182" s="23">
        <v>0</v>
      </c>
      <c r="J182" s="23">
        <v>0</v>
      </c>
      <c r="K182" s="23">
        <v>0</v>
      </c>
      <c r="L182" s="23">
        <v>0</v>
      </c>
      <c r="M182" s="23">
        <v>0</v>
      </c>
      <c r="N182" s="23">
        <v>1</v>
      </c>
      <c r="O182" s="23">
        <v>1</v>
      </c>
      <c r="P182" s="23">
        <v>1</v>
      </c>
      <c r="Q182" s="23">
        <v>4</v>
      </c>
      <c r="R182" s="23">
        <v>9</v>
      </c>
      <c r="S182" s="23">
        <v>12</v>
      </c>
      <c r="T182" s="23">
        <v>12</v>
      </c>
      <c r="U182" s="23">
        <v>20</v>
      </c>
      <c r="V182" s="23">
        <v>19</v>
      </c>
      <c r="W182" s="28">
        <v>19</v>
      </c>
    </row>
    <row r="183" spans="1:23" x14ac:dyDescent="0.25">
      <c r="A183" s="20">
        <v>34</v>
      </c>
      <c r="B183" s="27">
        <v>45163</v>
      </c>
      <c r="C183" s="23">
        <v>117</v>
      </c>
      <c r="D183" s="23">
        <v>0</v>
      </c>
      <c r="E183" s="23">
        <v>0</v>
      </c>
      <c r="F183" s="23">
        <v>0</v>
      </c>
      <c r="G183" s="23">
        <v>0</v>
      </c>
      <c r="H183" s="23">
        <v>0</v>
      </c>
      <c r="I183" s="23">
        <v>0</v>
      </c>
      <c r="J183" s="23">
        <v>0</v>
      </c>
      <c r="K183" s="23">
        <v>0</v>
      </c>
      <c r="L183" s="23">
        <v>0</v>
      </c>
      <c r="M183" s="23">
        <v>0</v>
      </c>
      <c r="N183" s="23">
        <v>1</v>
      </c>
      <c r="O183" s="23">
        <v>1</v>
      </c>
      <c r="P183" s="23">
        <v>2</v>
      </c>
      <c r="Q183" s="23">
        <v>6</v>
      </c>
      <c r="R183" s="23">
        <v>9</v>
      </c>
      <c r="S183" s="23">
        <v>15</v>
      </c>
      <c r="T183" s="23">
        <v>12</v>
      </c>
      <c r="U183" s="23">
        <v>22</v>
      </c>
      <c r="V183" s="23">
        <v>26</v>
      </c>
      <c r="W183" s="28">
        <v>23</v>
      </c>
    </row>
    <row r="184" spans="1:23" x14ac:dyDescent="0.25">
      <c r="A184" s="20">
        <v>35</v>
      </c>
      <c r="B184" s="27">
        <v>45170</v>
      </c>
      <c r="C184" s="23">
        <v>77</v>
      </c>
      <c r="D184" s="23">
        <v>0</v>
      </c>
      <c r="E184" s="23">
        <v>0</v>
      </c>
      <c r="F184" s="23">
        <v>0</v>
      </c>
      <c r="G184" s="23">
        <v>0</v>
      </c>
      <c r="H184" s="23">
        <v>0</v>
      </c>
      <c r="I184" s="23">
        <v>0</v>
      </c>
      <c r="J184" s="23">
        <v>0</v>
      </c>
      <c r="K184" s="23">
        <v>0</v>
      </c>
      <c r="L184" s="23">
        <v>0</v>
      </c>
      <c r="M184" s="23">
        <v>0</v>
      </c>
      <c r="N184" s="23">
        <v>0</v>
      </c>
      <c r="O184" s="23">
        <v>1</v>
      </c>
      <c r="P184" s="23">
        <v>1</v>
      </c>
      <c r="Q184" s="23">
        <v>5</v>
      </c>
      <c r="R184" s="23">
        <v>4</v>
      </c>
      <c r="S184" s="23">
        <v>7</v>
      </c>
      <c r="T184" s="23">
        <v>14</v>
      </c>
      <c r="U184" s="23">
        <v>14</v>
      </c>
      <c r="V184" s="23">
        <v>17</v>
      </c>
      <c r="W184" s="28">
        <v>14</v>
      </c>
    </row>
    <row r="185" spans="1:23"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row>
    <row r="186" spans="1:23" ht="15.6" x14ac:dyDescent="0.3">
      <c r="A186" s="3" t="s">
        <v>172</v>
      </c>
    </row>
    <row r="187" spans="1:23" ht="15.6" x14ac:dyDescent="0.3">
      <c r="A187" s="30" t="s">
        <v>116</v>
      </c>
      <c r="B187" s="11" t="s">
        <v>131</v>
      </c>
      <c r="C187" s="21" t="s">
        <v>132</v>
      </c>
      <c r="D187" s="21" t="s">
        <v>133</v>
      </c>
      <c r="E187" s="21" t="s">
        <v>134</v>
      </c>
      <c r="F187" s="21" t="s">
        <v>135</v>
      </c>
      <c r="G187" s="21" t="s">
        <v>136</v>
      </c>
      <c r="H187" s="21" t="s">
        <v>137</v>
      </c>
      <c r="I187" s="21" t="s">
        <v>138</v>
      </c>
      <c r="J187" s="21" t="s">
        <v>139</v>
      </c>
      <c r="K187" s="21" t="s">
        <v>140</v>
      </c>
      <c r="L187" s="21" t="s">
        <v>141</v>
      </c>
      <c r="M187" s="21" t="s">
        <v>142</v>
      </c>
      <c r="N187" s="21" t="s">
        <v>143</v>
      </c>
      <c r="O187" s="21" t="s">
        <v>144</v>
      </c>
      <c r="P187" s="21" t="s">
        <v>145</v>
      </c>
      <c r="Q187" s="21" t="s">
        <v>146</v>
      </c>
      <c r="R187" s="21" t="s">
        <v>147</v>
      </c>
      <c r="S187" s="21" t="s">
        <v>148</v>
      </c>
      <c r="T187" s="21" t="s">
        <v>149</v>
      </c>
      <c r="U187" s="21" t="s">
        <v>150</v>
      </c>
      <c r="V187" s="21" t="s">
        <v>151</v>
      </c>
      <c r="W187" s="24" t="s">
        <v>152</v>
      </c>
    </row>
    <row r="188" spans="1:23" x14ac:dyDescent="0.25">
      <c r="A188" s="19">
        <v>1</v>
      </c>
      <c r="B188" s="25">
        <v>44568</v>
      </c>
      <c r="C188" s="22">
        <v>539</v>
      </c>
      <c r="D188" s="22">
        <v>0</v>
      </c>
      <c r="E188" s="22">
        <v>0</v>
      </c>
      <c r="F188" s="22">
        <v>1</v>
      </c>
      <c r="G188" s="22">
        <v>0</v>
      </c>
      <c r="H188" s="22">
        <v>0</v>
      </c>
      <c r="I188" s="22">
        <v>2</v>
      </c>
      <c r="J188" s="22">
        <v>1</v>
      </c>
      <c r="K188" s="22">
        <v>2</v>
      </c>
      <c r="L188" s="22">
        <v>6</v>
      </c>
      <c r="M188" s="22">
        <v>6</v>
      </c>
      <c r="N188" s="22">
        <v>8</v>
      </c>
      <c r="O188" s="22">
        <v>13</v>
      </c>
      <c r="P188" s="22">
        <v>9</v>
      </c>
      <c r="Q188" s="22">
        <v>33</v>
      </c>
      <c r="R188" s="22">
        <v>38</v>
      </c>
      <c r="S188" s="22">
        <v>48</v>
      </c>
      <c r="T188" s="22">
        <v>70</v>
      </c>
      <c r="U188" s="22">
        <v>77</v>
      </c>
      <c r="V188" s="22">
        <v>83</v>
      </c>
      <c r="W188" s="26">
        <v>142</v>
      </c>
    </row>
    <row r="189" spans="1:23" x14ac:dyDescent="0.25">
      <c r="A189" s="20">
        <v>2</v>
      </c>
      <c r="B189" s="27">
        <v>44575</v>
      </c>
      <c r="C189" s="23">
        <v>610</v>
      </c>
      <c r="D189" s="23">
        <v>0</v>
      </c>
      <c r="E189" s="23">
        <v>0</v>
      </c>
      <c r="F189" s="23">
        <v>0</v>
      </c>
      <c r="G189" s="23">
        <v>1</v>
      </c>
      <c r="H189" s="23">
        <v>0</v>
      </c>
      <c r="I189" s="23">
        <v>0</v>
      </c>
      <c r="J189" s="23">
        <v>1</v>
      </c>
      <c r="K189" s="23">
        <v>1</v>
      </c>
      <c r="L189" s="23">
        <v>8</v>
      </c>
      <c r="M189" s="23">
        <v>6</v>
      </c>
      <c r="N189" s="23">
        <v>7</v>
      </c>
      <c r="O189" s="23">
        <v>16</v>
      </c>
      <c r="P189" s="23">
        <v>10</v>
      </c>
      <c r="Q189" s="23">
        <v>33</v>
      </c>
      <c r="R189" s="23">
        <v>34</v>
      </c>
      <c r="S189" s="23">
        <v>39</v>
      </c>
      <c r="T189" s="23">
        <v>74</v>
      </c>
      <c r="U189" s="23">
        <v>84</v>
      </c>
      <c r="V189" s="23">
        <v>123</v>
      </c>
      <c r="W189" s="28">
        <v>173</v>
      </c>
    </row>
    <row r="190" spans="1:23" x14ac:dyDescent="0.25">
      <c r="A190" s="20">
        <v>3</v>
      </c>
      <c r="B190" s="27">
        <v>44582</v>
      </c>
      <c r="C190" s="23">
        <v>663</v>
      </c>
      <c r="D190" s="23">
        <v>0</v>
      </c>
      <c r="E190" s="23">
        <v>0</v>
      </c>
      <c r="F190" s="23">
        <v>0</v>
      </c>
      <c r="G190" s="23">
        <v>0</v>
      </c>
      <c r="H190" s="23">
        <v>2</v>
      </c>
      <c r="I190" s="23">
        <v>0</v>
      </c>
      <c r="J190" s="23">
        <v>2</v>
      </c>
      <c r="K190" s="23">
        <v>0</v>
      </c>
      <c r="L190" s="23">
        <v>3</v>
      </c>
      <c r="M190" s="23">
        <v>3</v>
      </c>
      <c r="N190" s="23">
        <v>2</v>
      </c>
      <c r="O190" s="23">
        <v>11</v>
      </c>
      <c r="P190" s="23">
        <v>12</v>
      </c>
      <c r="Q190" s="23">
        <v>22</v>
      </c>
      <c r="R190" s="23">
        <v>29</v>
      </c>
      <c r="S190" s="23">
        <v>43</v>
      </c>
      <c r="T190" s="23">
        <v>76</v>
      </c>
      <c r="U190" s="23">
        <v>113</v>
      </c>
      <c r="V190" s="23">
        <v>140</v>
      </c>
      <c r="W190" s="28">
        <v>205</v>
      </c>
    </row>
    <row r="191" spans="1:23" x14ac:dyDescent="0.25">
      <c r="A191" s="20">
        <v>4</v>
      </c>
      <c r="B191" s="27">
        <v>44589</v>
      </c>
      <c r="C191" s="23">
        <v>588</v>
      </c>
      <c r="D191" s="23">
        <v>0</v>
      </c>
      <c r="E191" s="23">
        <v>0</v>
      </c>
      <c r="F191" s="23">
        <v>0</v>
      </c>
      <c r="G191" s="23">
        <v>0</v>
      </c>
      <c r="H191" s="23">
        <v>0</v>
      </c>
      <c r="I191" s="23">
        <v>2</v>
      </c>
      <c r="J191" s="23">
        <v>1</v>
      </c>
      <c r="K191" s="23">
        <v>2</v>
      </c>
      <c r="L191" s="23">
        <v>1</v>
      </c>
      <c r="M191" s="23">
        <v>1</v>
      </c>
      <c r="N191" s="23">
        <v>8</v>
      </c>
      <c r="O191" s="23">
        <v>9</v>
      </c>
      <c r="P191" s="23">
        <v>14</v>
      </c>
      <c r="Q191" s="23">
        <v>20</v>
      </c>
      <c r="R191" s="23">
        <v>22</v>
      </c>
      <c r="S191" s="23">
        <v>49</v>
      </c>
      <c r="T191" s="23">
        <v>65</v>
      </c>
      <c r="U191" s="23">
        <v>89</v>
      </c>
      <c r="V191" s="23">
        <v>146</v>
      </c>
      <c r="W191" s="28">
        <v>159</v>
      </c>
    </row>
    <row r="192" spans="1:23" x14ac:dyDescent="0.25">
      <c r="A192" s="20">
        <v>5</v>
      </c>
      <c r="B192" s="27">
        <v>44596</v>
      </c>
      <c r="C192" s="23">
        <v>572</v>
      </c>
      <c r="D192" s="23">
        <v>0</v>
      </c>
      <c r="E192" s="23">
        <v>0</v>
      </c>
      <c r="F192" s="23">
        <v>0</v>
      </c>
      <c r="G192" s="23">
        <v>1</v>
      </c>
      <c r="H192" s="23">
        <v>0</v>
      </c>
      <c r="I192" s="23">
        <v>0</v>
      </c>
      <c r="J192" s="23">
        <v>2</v>
      </c>
      <c r="K192" s="23">
        <v>2</v>
      </c>
      <c r="L192" s="23">
        <v>1</v>
      </c>
      <c r="M192" s="23">
        <v>2</v>
      </c>
      <c r="N192" s="23">
        <v>4</v>
      </c>
      <c r="O192" s="23">
        <v>9</v>
      </c>
      <c r="P192" s="23">
        <v>12</v>
      </c>
      <c r="Q192" s="23">
        <v>21</v>
      </c>
      <c r="R192" s="23">
        <v>24</v>
      </c>
      <c r="S192" s="23">
        <v>38</v>
      </c>
      <c r="T192" s="23">
        <v>74</v>
      </c>
      <c r="U192" s="23">
        <v>92</v>
      </c>
      <c r="V192" s="23">
        <v>125</v>
      </c>
      <c r="W192" s="28">
        <v>165</v>
      </c>
    </row>
    <row r="193" spans="1:23" x14ac:dyDescent="0.25">
      <c r="A193" s="20">
        <v>6</v>
      </c>
      <c r="B193" s="27">
        <v>44603</v>
      </c>
      <c r="C193" s="23">
        <v>402</v>
      </c>
      <c r="D193" s="23">
        <v>0</v>
      </c>
      <c r="E193" s="23">
        <v>0</v>
      </c>
      <c r="F193" s="23">
        <v>0</v>
      </c>
      <c r="G193" s="23">
        <v>0</v>
      </c>
      <c r="H193" s="23">
        <v>0</v>
      </c>
      <c r="I193" s="23">
        <v>0</v>
      </c>
      <c r="J193" s="23">
        <v>1</v>
      </c>
      <c r="K193" s="23">
        <v>3</v>
      </c>
      <c r="L193" s="23">
        <v>0</v>
      </c>
      <c r="M193" s="23">
        <v>4</v>
      </c>
      <c r="N193" s="23">
        <v>4</v>
      </c>
      <c r="O193" s="23">
        <v>9</v>
      </c>
      <c r="P193" s="23">
        <v>13</v>
      </c>
      <c r="Q193" s="23">
        <v>15</v>
      </c>
      <c r="R193" s="23">
        <v>18</v>
      </c>
      <c r="S193" s="23">
        <v>33</v>
      </c>
      <c r="T193" s="23">
        <v>45</v>
      </c>
      <c r="U193" s="23">
        <v>63</v>
      </c>
      <c r="V193" s="23">
        <v>78</v>
      </c>
      <c r="W193" s="28">
        <v>116</v>
      </c>
    </row>
    <row r="194" spans="1:23" x14ac:dyDescent="0.25">
      <c r="A194" s="20">
        <v>7</v>
      </c>
      <c r="B194" s="27">
        <v>44610</v>
      </c>
      <c r="C194" s="23">
        <v>360</v>
      </c>
      <c r="D194" s="23">
        <v>0</v>
      </c>
      <c r="E194" s="23">
        <v>0</v>
      </c>
      <c r="F194" s="23">
        <v>0</v>
      </c>
      <c r="G194" s="23">
        <v>0</v>
      </c>
      <c r="H194" s="23">
        <v>1</v>
      </c>
      <c r="I194" s="23">
        <v>0</v>
      </c>
      <c r="J194" s="23">
        <v>1</v>
      </c>
      <c r="K194" s="23">
        <v>0</v>
      </c>
      <c r="L194" s="23">
        <v>2</v>
      </c>
      <c r="M194" s="23">
        <v>3</v>
      </c>
      <c r="N194" s="23">
        <v>0</v>
      </c>
      <c r="O194" s="23">
        <v>9</v>
      </c>
      <c r="P194" s="23">
        <v>10</v>
      </c>
      <c r="Q194" s="23">
        <v>10</v>
      </c>
      <c r="R194" s="23">
        <v>19</v>
      </c>
      <c r="S194" s="23">
        <v>28</v>
      </c>
      <c r="T194" s="23">
        <v>30</v>
      </c>
      <c r="U194" s="23">
        <v>58</v>
      </c>
      <c r="V194" s="23">
        <v>72</v>
      </c>
      <c r="W194" s="28">
        <v>117</v>
      </c>
    </row>
    <row r="195" spans="1:23" x14ac:dyDescent="0.25">
      <c r="A195" s="20">
        <v>8</v>
      </c>
      <c r="B195" s="27">
        <v>44617</v>
      </c>
      <c r="C195" s="23">
        <v>309</v>
      </c>
      <c r="D195" s="23">
        <v>0</v>
      </c>
      <c r="E195" s="23">
        <v>0</v>
      </c>
      <c r="F195" s="23">
        <v>0</v>
      </c>
      <c r="G195" s="23">
        <v>0</v>
      </c>
      <c r="H195" s="23">
        <v>0</v>
      </c>
      <c r="I195" s="23">
        <v>1</v>
      </c>
      <c r="J195" s="23">
        <v>0</v>
      </c>
      <c r="K195" s="23">
        <v>0</v>
      </c>
      <c r="L195" s="23">
        <v>1</v>
      </c>
      <c r="M195" s="23">
        <v>0</v>
      </c>
      <c r="N195" s="23">
        <v>5</v>
      </c>
      <c r="O195" s="23">
        <v>4</v>
      </c>
      <c r="P195" s="23">
        <v>4</v>
      </c>
      <c r="Q195" s="23">
        <v>9</v>
      </c>
      <c r="R195" s="23">
        <v>6</v>
      </c>
      <c r="S195" s="23">
        <v>23</v>
      </c>
      <c r="T195" s="23">
        <v>26</v>
      </c>
      <c r="U195" s="23">
        <v>67</v>
      </c>
      <c r="V195" s="23">
        <v>72</v>
      </c>
      <c r="W195" s="28">
        <v>91</v>
      </c>
    </row>
    <row r="196" spans="1:23" x14ac:dyDescent="0.25">
      <c r="A196" s="20">
        <v>9</v>
      </c>
      <c r="B196" s="27">
        <v>44624</v>
      </c>
      <c r="C196" s="23">
        <v>289</v>
      </c>
      <c r="D196" s="23">
        <v>1</v>
      </c>
      <c r="E196" s="23">
        <v>0</v>
      </c>
      <c r="F196" s="23">
        <v>0</v>
      </c>
      <c r="G196" s="23">
        <v>0</v>
      </c>
      <c r="H196" s="23">
        <v>1</v>
      </c>
      <c r="I196" s="23">
        <v>0</v>
      </c>
      <c r="J196" s="23">
        <v>1</v>
      </c>
      <c r="K196" s="23">
        <v>0</v>
      </c>
      <c r="L196" s="23">
        <v>2</v>
      </c>
      <c r="M196" s="23">
        <v>0</v>
      </c>
      <c r="N196" s="23">
        <v>1</v>
      </c>
      <c r="O196" s="23">
        <v>2</v>
      </c>
      <c r="P196" s="23">
        <v>7</v>
      </c>
      <c r="Q196" s="23">
        <v>9</v>
      </c>
      <c r="R196" s="23">
        <v>9</v>
      </c>
      <c r="S196" s="23">
        <v>16</v>
      </c>
      <c r="T196" s="23">
        <v>41</v>
      </c>
      <c r="U196" s="23">
        <v>47</v>
      </c>
      <c r="V196" s="23">
        <v>67</v>
      </c>
      <c r="W196" s="28">
        <v>85</v>
      </c>
    </row>
    <row r="197" spans="1:23" x14ac:dyDescent="0.25">
      <c r="A197" s="20">
        <v>10</v>
      </c>
      <c r="B197" s="27">
        <v>44631</v>
      </c>
      <c r="C197" s="23">
        <v>289</v>
      </c>
      <c r="D197" s="23">
        <v>0</v>
      </c>
      <c r="E197" s="23">
        <v>0</v>
      </c>
      <c r="F197" s="23">
        <v>0</v>
      </c>
      <c r="G197" s="23">
        <v>0</v>
      </c>
      <c r="H197" s="23">
        <v>0</v>
      </c>
      <c r="I197" s="23">
        <v>0</v>
      </c>
      <c r="J197" s="23">
        <v>0</v>
      </c>
      <c r="K197" s="23">
        <v>2</v>
      </c>
      <c r="L197" s="23">
        <v>1</v>
      </c>
      <c r="M197" s="23">
        <v>2</v>
      </c>
      <c r="N197" s="23">
        <v>1</v>
      </c>
      <c r="O197" s="23">
        <v>4</v>
      </c>
      <c r="P197" s="23">
        <v>6</v>
      </c>
      <c r="Q197" s="23">
        <v>8</v>
      </c>
      <c r="R197" s="23">
        <v>9</v>
      </c>
      <c r="S197" s="23">
        <v>20</v>
      </c>
      <c r="T197" s="23">
        <v>32</v>
      </c>
      <c r="U197" s="23">
        <v>47</v>
      </c>
      <c r="V197" s="23">
        <v>55</v>
      </c>
      <c r="W197" s="28">
        <v>102</v>
      </c>
    </row>
    <row r="198" spans="1:23" x14ac:dyDescent="0.25">
      <c r="A198" s="20">
        <v>11</v>
      </c>
      <c r="B198" s="27">
        <v>44638</v>
      </c>
      <c r="C198" s="23">
        <v>339</v>
      </c>
      <c r="D198" s="23">
        <v>0</v>
      </c>
      <c r="E198" s="23">
        <v>0</v>
      </c>
      <c r="F198" s="23">
        <v>1</v>
      </c>
      <c r="G198" s="23">
        <v>0</v>
      </c>
      <c r="H198" s="23">
        <v>0</v>
      </c>
      <c r="I198" s="23">
        <v>1</v>
      </c>
      <c r="J198" s="23">
        <v>0</v>
      </c>
      <c r="K198" s="23">
        <v>2</v>
      </c>
      <c r="L198" s="23">
        <v>1</v>
      </c>
      <c r="M198" s="23">
        <v>0</v>
      </c>
      <c r="N198" s="23">
        <v>2</v>
      </c>
      <c r="O198" s="23">
        <v>3</v>
      </c>
      <c r="P198" s="23">
        <v>9</v>
      </c>
      <c r="Q198" s="23">
        <v>11</v>
      </c>
      <c r="R198" s="23">
        <v>16</v>
      </c>
      <c r="S198" s="23">
        <v>16</v>
      </c>
      <c r="T198" s="23">
        <v>37</v>
      </c>
      <c r="U198" s="23">
        <v>70</v>
      </c>
      <c r="V198" s="23">
        <v>67</v>
      </c>
      <c r="W198" s="28">
        <v>103</v>
      </c>
    </row>
    <row r="199" spans="1:23" x14ac:dyDescent="0.25">
      <c r="A199" s="20">
        <v>12</v>
      </c>
      <c r="B199" s="27">
        <v>44645</v>
      </c>
      <c r="C199" s="23">
        <v>449</v>
      </c>
      <c r="D199" s="23">
        <v>0</v>
      </c>
      <c r="E199" s="23">
        <v>0</v>
      </c>
      <c r="F199" s="23">
        <v>0</v>
      </c>
      <c r="G199" s="23">
        <v>1</v>
      </c>
      <c r="H199" s="23">
        <v>0</v>
      </c>
      <c r="I199" s="23">
        <v>0</v>
      </c>
      <c r="J199" s="23">
        <v>0</v>
      </c>
      <c r="K199" s="23">
        <v>0</v>
      </c>
      <c r="L199" s="23">
        <v>2</v>
      </c>
      <c r="M199" s="23">
        <v>4</v>
      </c>
      <c r="N199" s="23">
        <v>2</v>
      </c>
      <c r="O199" s="23">
        <v>7</v>
      </c>
      <c r="P199" s="23">
        <v>8</v>
      </c>
      <c r="Q199" s="23">
        <v>12</v>
      </c>
      <c r="R199" s="23">
        <v>19</v>
      </c>
      <c r="S199" s="23">
        <v>36</v>
      </c>
      <c r="T199" s="23">
        <v>51</v>
      </c>
      <c r="U199" s="23">
        <v>76</v>
      </c>
      <c r="V199" s="23">
        <v>78</v>
      </c>
      <c r="W199" s="28">
        <v>153</v>
      </c>
    </row>
    <row r="200" spans="1:23" x14ac:dyDescent="0.25">
      <c r="A200" s="20">
        <v>13</v>
      </c>
      <c r="B200" s="27">
        <v>44652</v>
      </c>
      <c r="C200" s="23">
        <v>528</v>
      </c>
      <c r="D200" s="23">
        <v>0</v>
      </c>
      <c r="E200" s="23">
        <v>1</v>
      </c>
      <c r="F200" s="23">
        <v>0</v>
      </c>
      <c r="G200" s="23">
        <v>0</v>
      </c>
      <c r="H200" s="23">
        <v>0</v>
      </c>
      <c r="I200" s="23">
        <v>0</v>
      </c>
      <c r="J200" s="23">
        <v>1</v>
      </c>
      <c r="K200" s="23">
        <v>1</v>
      </c>
      <c r="L200" s="23">
        <v>5</v>
      </c>
      <c r="M200" s="23">
        <v>3</v>
      </c>
      <c r="N200" s="23">
        <v>6</v>
      </c>
      <c r="O200" s="23">
        <v>4</v>
      </c>
      <c r="P200" s="23">
        <v>6</v>
      </c>
      <c r="Q200" s="23">
        <v>12</v>
      </c>
      <c r="R200" s="23">
        <v>20</v>
      </c>
      <c r="S200" s="23">
        <v>39</v>
      </c>
      <c r="T200" s="23">
        <v>51</v>
      </c>
      <c r="U200" s="23">
        <v>70</v>
      </c>
      <c r="V200" s="23">
        <v>121</v>
      </c>
      <c r="W200" s="28">
        <v>188</v>
      </c>
    </row>
    <row r="201" spans="1:23" x14ac:dyDescent="0.25">
      <c r="A201" s="20">
        <v>14</v>
      </c>
      <c r="B201" s="27">
        <v>44659</v>
      </c>
      <c r="C201" s="23">
        <v>597</v>
      </c>
      <c r="D201" s="23">
        <v>0</v>
      </c>
      <c r="E201" s="23">
        <v>0</v>
      </c>
      <c r="F201" s="23">
        <v>0</v>
      </c>
      <c r="G201" s="23">
        <v>0</v>
      </c>
      <c r="H201" s="23">
        <v>2</v>
      </c>
      <c r="I201" s="23">
        <v>1</v>
      </c>
      <c r="J201" s="23">
        <v>2</v>
      </c>
      <c r="K201" s="23">
        <v>1</v>
      </c>
      <c r="L201" s="23">
        <v>1</v>
      </c>
      <c r="M201" s="23">
        <v>3</v>
      </c>
      <c r="N201" s="23">
        <v>1</v>
      </c>
      <c r="O201" s="23">
        <v>10</v>
      </c>
      <c r="P201" s="23">
        <v>8</v>
      </c>
      <c r="Q201" s="23">
        <v>13</v>
      </c>
      <c r="R201" s="23">
        <v>30</v>
      </c>
      <c r="S201" s="23">
        <v>33</v>
      </c>
      <c r="T201" s="23">
        <v>72</v>
      </c>
      <c r="U201" s="23">
        <v>87</v>
      </c>
      <c r="V201" s="23">
        <v>129</v>
      </c>
      <c r="W201" s="28">
        <v>204</v>
      </c>
    </row>
    <row r="202" spans="1:23" x14ac:dyDescent="0.25">
      <c r="A202" s="20">
        <v>15</v>
      </c>
      <c r="B202" s="27">
        <v>44666</v>
      </c>
      <c r="C202" s="23">
        <v>563</v>
      </c>
      <c r="D202" s="23">
        <v>0</v>
      </c>
      <c r="E202" s="23">
        <v>0</v>
      </c>
      <c r="F202" s="23">
        <v>0</v>
      </c>
      <c r="G202" s="23">
        <v>0</v>
      </c>
      <c r="H202" s="23">
        <v>0</v>
      </c>
      <c r="I202" s="23">
        <v>0</v>
      </c>
      <c r="J202" s="23">
        <v>0</v>
      </c>
      <c r="K202" s="23">
        <v>2</v>
      </c>
      <c r="L202" s="23">
        <v>0</v>
      </c>
      <c r="M202" s="23">
        <v>4</v>
      </c>
      <c r="N202" s="23">
        <v>2</v>
      </c>
      <c r="O202" s="23">
        <v>4</v>
      </c>
      <c r="P202" s="23">
        <v>10</v>
      </c>
      <c r="Q202" s="23">
        <v>9</v>
      </c>
      <c r="R202" s="23">
        <v>20</v>
      </c>
      <c r="S202" s="23">
        <v>35</v>
      </c>
      <c r="T202" s="23">
        <v>67</v>
      </c>
      <c r="U202" s="23">
        <v>89</v>
      </c>
      <c r="V202" s="23">
        <v>116</v>
      </c>
      <c r="W202" s="28">
        <v>205</v>
      </c>
    </row>
    <row r="203" spans="1:23" x14ac:dyDescent="0.25">
      <c r="A203" s="20">
        <v>16</v>
      </c>
      <c r="B203" s="27">
        <v>44673</v>
      </c>
      <c r="C203" s="23">
        <v>489</v>
      </c>
      <c r="D203" s="23">
        <v>0</v>
      </c>
      <c r="E203" s="23">
        <v>0</v>
      </c>
      <c r="F203" s="23">
        <v>0</v>
      </c>
      <c r="G203" s="23">
        <v>0</v>
      </c>
      <c r="H203" s="23">
        <v>0</v>
      </c>
      <c r="I203" s="23">
        <v>0</v>
      </c>
      <c r="J203" s="23">
        <v>2</v>
      </c>
      <c r="K203" s="23">
        <v>0</v>
      </c>
      <c r="L203" s="23">
        <v>0</v>
      </c>
      <c r="M203" s="23">
        <v>2</v>
      </c>
      <c r="N203" s="23">
        <v>3</v>
      </c>
      <c r="O203" s="23">
        <v>3</v>
      </c>
      <c r="P203" s="23">
        <v>9</v>
      </c>
      <c r="Q203" s="23">
        <v>10</v>
      </c>
      <c r="R203" s="23">
        <v>25</v>
      </c>
      <c r="S203" s="23">
        <v>34</v>
      </c>
      <c r="T203" s="23">
        <v>61</v>
      </c>
      <c r="U203" s="23">
        <v>76</v>
      </c>
      <c r="V203" s="23">
        <v>101</v>
      </c>
      <c r="W203" s="28">
        <v>163</v>
      </c>
    </row>
    <row r="204" spans="1:23" x14ac:dyDescent="0.25">
      <c r="A204" s="20">
        <v>17</v>
      </c>
      <c r="B204" s="27">
        <v>44680</v>
      </c>
      <c r="C204" s="23">
        <v>349</v>
      </c>
      <c r="D204" s="23">
        <v>0</v>
      </c>
      <c r="E204" s="23">
        <v>0</v>
      </c>
      <c r="F204" s="23">
        <v>0</v>
      </c>
      <c r="G204" s="23">
        <v>0</v>
      </c>
      <c r="H204" s="23">
        <v>0</v>
      </c>
      <c r="I204" s="23">
        <v>0</v>
      </c>
      <c r="J204" s="23">
        <v>1</v>
      </c>
      <c r="K204" s="23">
        <v>0</v>
      </c>
      <c r="L204" s="23">
        <v>1</v>
      </c>
      <c r="M204" s="23">
        <v>1</v>
      </c>
      <c r="N204" s="23">
        <v>3</v>
      </c>
      <c r="O204" s="23">
        <v>5</v>
      </c>
      <c r="P204" s="23">
        <v>5</v>
      </c>
      <c r="Q204" s="23">
        <v>15</v>
      </c>
      <c r="R204" s="23">
        <v>13</v>
      </c>
      <c r="S204" s="23">
        <v>27</v>
      </c>
      <c r="T204" s="23">
        <v>36</v>
      </c>
      <c r="U204" s="23">
        <v>70</v>
      </c>
      <c r="V204" s="23">
        <v>66</v>
      </c>
      <c r="W204" s="28">
        <v>106</v>
      </c>
    </row>
    <row r="205" spans="1:23" x14ac:dyDescent="0.25">
      <c r="A205" s="20">
        <v>18</v>
      </c>
      <c r="B205" s="27">
        <v>44687</v>
      </c>
      <c r="C205" s="23">
        <v>297</v>
      </c>
      <c r="D205" s="23">
        <v>0</v>
      </c>
      <c r="E205" s="23">
        <v>0</v>
      </c>
      <c r="F205" s="23">
        <v>0</v>
      </c>
      <c r="G205" s="23">
        <v>1</v>
      </c>
      <c r="H205" s="23">
        <v>0</v>
      </c>
      <c r="I205" s="23">
        <v>0</v>
      </c>
      <c r="J205" s="23">
        <v>1</v>
      </c>
      <c r="K205" s="23">
        <v>1</v>
      </c>
      <c r="L205" s="23">
        <v>0</v>
      </c>
      <c r="M205" s="23">
        <v>0</v>
      </c>
      <c r="N205" s="23">
        <v>2</v>
      </c>
      <c r="O205" s="23">
        <v>2</v>
      </c>
      <c r="P205" s="23">
        <v>3</v>
      </c>
      <c r="Q205" s="23">
        <v>5</v>
      </c>
      <c r="R205" s="23">
        <v>13</v>
      </c>
      <c r="S205" s="23">
        <v>31</v>
      </c>
      <c r="T205" s="23">
        <v>30</v>
      </c>
      <c r="U205" s="23">
        <v>46</v>
      </c>
      <c r="V205" s="23">
        <v>64</v>
      </c>
      <c r="W205" s="28">
        <v>98</v>
      </c>
    </row>
    <row r="206" spans="1:23" x14ac:dyDescent="0.25">
      <c r="A206" s="20">
        <v>19</v>
      </c>
      <c r="B206" s="27">
        <v>44694</v>
      </c>
      <c r="C206" s="23">
        <v>247</v>
      </c>
      <c r="D206" s="23">
        <v>1</v>
      </c>
      <c r="E206" s="23">
        <v>0</v>
      </c>
      <c r="F206" s="23">
        <v>0</v>
      </c>
      <c r="G206" s="23">
        <v>0</v>
      </c>
      <c r="H206" s="23">
        <v>1</v>
      </c>
      <c r="I206" s="23">
        <v>0</v>
      </c>
      <c r="J206" s="23">
        <v>0</v>
      </c>
      <c r="K206" s="23">
        <v>1</v>
      </c>
      <c r="L206" s="23">
        <v>1</v>
      </c>
      <c r="M206" s="23">
        <v>0</v>
      </c>
      <c r="N206" s="23">
        <v>3</v>
      </c>
      <c r="O206" s="23">
        <v>5</v>
      </c>
      <c r="P206" s="23">
        <v>1</v>
      </c>
      <c r="Q206" s="23">
        <v>9</v>
      </c>
      <c r="R206" s="23">
        <v>10</v>
      </c>
      <c r="S206" s="23">
        <v>19</v>
      </c>
      <c r="T206" s="23">
        <v>33</v>
      </c>
      <c r="U206" s="23">
        <v>38</v>
      </c>
      <c r="V206" s="23">
        <v>62</v>
      </c>
      <c r="W206" s="28">
        <v>63</v>
      </c>
    </row>
    <row r="207" spans="1:23" x14ac:dyDescent="0.25">
      <c r="A207" s="20">
        <v>20</v>
      </c>
      <c r="B207" s="27">
        <v>44701</v>
      </c>
      <c r="C207" s="23">
        <v>173</v>
      </c>
      <c r="D207" s="23">
        <v>0</v>
      </c>
      <c r="E207" s="23">
        <v>0</v>
      </c>
      <c r="F207" s="23">
        <v>0</v>
      </c>
      <c r="G207" s="23">
        <v>0</v>
      </c>
      <c r="H207" s="23">
        <v>0</v>
      </c>
      <c r="I207" s="23">
        <v>0</v>
      </c>
      <c r="J207" s="23">
        <v>0</v>
      </c>
      <c r="K207" s="23">
        <v>1</v>
      </c>
      <c r="L207" s="23">
        <v>0</v>
      </c>
      <c r="M207" s="23">
        <v>0</v>
      </c>
      <c r="N207" s="23">
        <v>2</v>
      </c>
      <c r="O207" s="23">
        <v>3</v>
      </c>
      <c r="P207" s="23">
        <v>4</v>
      </c>
      <c r="Q207" s="23">
        <v>3</v>
      </c>
      <c r="R207" s="23">
        <v>8</v>
      </c>
      <c r="S207" s="23">
        <v>14</v>
      </c>
      <c r="T207" s="23">
        <v>19</v>
      </c>
      <c r="U207" s="23">
        <v>25</v>
      </c>
      <c r="V207" s="23">
        <v>39</v>
      </c>
      <c r="W207" s="28">
        <v>55</v>
      </c>
    </row>
    <row r="208" spans="1:23" x14ac:dyDescent="0.25">
      <c r="A208" s="20">
        <v>21</v>
      </c>
      <c r="B208" s="27">
        <v>44708</v>
      </c>
      <c r="C208" s="23">
        <v>145</v>
      </c>
      <c r="D208" s="23">
        <v>1</v>
      </c>
      <c r="E208" s="23">
        <v>0</v>
      </c>
      <c r="F208" s="23">
        <v>1</v>
      </c>
      <c r="G208" s="23">
        <v>0</v>
      </c>
      <c r="H208" s="23">
        <v>0</v>
      </c>
      <c r="I208" s="23">
        <v>0</v>
      </c>
      <c r="J208" s="23">
        <v>0</v>
      </c>
      <c r="K208" s="23">
        <v>0</v>
      </c>
      <c r="L208" s="23">
        <v>1</v>
      </c>
      <c r="M208" s="23">
        <v>1</v>
      </c>
      <c r="N208" s="23">
        <v>0</v>
      </c>
      <c r="O208" s="23">
        <v>2</v>
      </c>
      <c r="P208" s="23">
        <v>3</v>
      </c>
      <c r="Q208" s="23">
        <v>4</v>
      </c>
      <c r="R208" s="23">
        <v>9</v>
      </c>
      <c r="S208" s="23">
        <v>12</v>
      </c>
      <c r="T208" s="23">
        <v>20</v>
      </c>
      <c r="U208" s="23">
        <v>24</v>
      </c>
      <c r="V208" s="23">
        <v>33</v>
      </c>
      <c r="W208" s="28">
        <v>34</v>
      </c>
    </row>
    <row r="209" spans="1:23" x14ac:dyDescent="0.25">
      <c r="A209" s="20">
        <v>22</v>
      </c>
      <c r="B209" s="27">
        <v>44715</v>
      </c>
      <c r="C209" s="23">
        <v>96</v>
      </c>
      <c r="D209" s="23">
        <v>0</v>
      </c>
      <c r="E209" s="23">
        <v>0</v>
      </c>
      <c r="F209" s="23">
        <v>0</v>
      </c>
      <c r="G209" s="23">
        <v>0</v>
      </c>
      <c r="H209" s="23">
        <v>0</v>
      </c>
      <c r="I209" s="23">
        <v>0</v>
      </c>
      <c r="J209" s="23">
        <v>0</v>
      </c>
      <c r="K209" s="23">
        <v>0</v>
      </c>
      <c r="L209" s="23">
        <v>0</v>
      </c>
      <c r="M209" s="23">
        <v>0</v>
      </c>
      <c r="N209" s="23">
        <v>0</v>
      </c>
      <c r="O209" s="23">
        <v>2</v>
      </c>
      <c r="P209" s="23">
        <v>2</v>
      </c>
      <c r="Q209" s="23">
        <v>1</v>
      </c>
      <c r="R209" s="23">
        <v>9</v>
      </c>
      <c r="S209" s="23">
        <v>9</v>
      </c>
      <c r="T209" s="23">
        <v>10</v>
      </c>
      <c r="U209" s="23">
        <v>13</v>
      </c>
      <c r="V209" s="23">
        <v>10</v>
      </c>
      <c r="W209" s="28">
        <v>40</v>
      </c>
    </row>
    <row r="210" spans="1:23" x14ac:dyDescent="0.25">
      <c r="A210" s="20">
        <v>23</v>
      </c>
      <c r="B210" s="27">
        <v>44722</v>
      </c>
      <c r="C210" s="23">
        <v>89</v>
      </c>
      <c r="D210" s="23">
        <v>0</v>
      </c>
      <c r="E210" s="23">
        <v>0</v>
      </c>
      <c r="F210" s="23">
        <v>0</v>
      </c>
      <c r="G210" s="23">
        <v>0</v>
      </c>
      <c r="H210" s="23">
        <v>0</v>
      </c>
      <c r="I210" s="23">
        <v>0</v>
      </c>
      <c r="J210" s="23">
        <v>0</v>
      </c>
      <c r="K210" s="23">
        <v>0</v>
      </c>
      <c r="L210" s="23">
        <v>1</v>
      </c>
      <c r="M210" s="23">
        <v>3</v>
      </c>
      <c r="N210" s="23">
        <v>1</v>
      </c>
      <c r="O210" s="23">
        <v>3</v>
      </c>
      <c r="P210" s="23">
        <v>1</v>
      </c>
      <c r="Q210" s="23">
        <v>1</v>
      </c>
      <c r="R210" s="23">
        <v>3</v>
      </c>
      <c r="S210" s="23">
        <v>5</v>
      </c>
      <c r="T210" s="23">
        <v>12</v>
      </c>
      <c r="U210" s="23">
        <v>12</v>
      </c>
      <c r="V210" s="23">
        <v>20</v>
      </c>
      <c r="W210" s="28">
        <v>27</v>
      </c>
    </row>
    <row r="211" spans="1:23" x14ac:dyDescent="0.25">
      <c r="A211" s="20">
        <v>24</v>
      </c>
      <c r="B211" s="27">
        <v>44729</v>
      </c>
      <c r="C211" s="23">
        <v>107</v>
      </c>
      <c r="D211" s="23">
        <v>0</v>
      </c>
      <c r="E211" s="23">
        <v>0</v>
      </c>
      <c r="F211" s="23">
        <v>0</v>
      </c>
      <c r="G211" s="23">
        <v>0</v>
      </c>
      <c r="H211" s="23">
        <v>0</v>
      </c>
      <c r="I211" s="23">
        <v>0</v>
      </c>
      <c r="J211" s="23">
        <v>0</v>
      </c>
      <c r="K211" s="23">
        <v>0</v>
      </c>
      <c r="L211" s="23">
        <v>1</v>
      </c>
      <c r="M211" s="23">
        <v>2</v>
      </c>
      <c r="N211" s="23">
        <v>0</v>
      </c>
      <c r="O211" s="23">
        <v>2</v>
      </c>
      <c r="P211" s="23">
        <v>2</v>
      </c>
      <c r="Q211" s="23">
        <v>4</v>
      </c>
      <c r="R211" s="23">
        <v>4</v>
      </c>
      <c r="S211" s="23">
        <v>10</v>
      </c>
      <c r="T211" s="23">
        <v>6</v>
      </c>
      <c r="U211" s="23">
        <v>16</v>
      </c>
      <c r="V211" s="23">
        <v>28</v>
      </c>
      <c r="W211" s="28">
        <v>32</v>
      </c>
    </row>
    <row r="212" spans="1:23" x14ac:dyDescent="0.25">
      <c r="A212" s="20">
        <v>25</v>
      </c>
      <c r="B212" s="27">
        <v>44736</v>
      </c>
      <c r="C212" s="23">
        <v>135</v>
      </c>
      <c r="D212" s="23">
        <v>0</v>
      </c>
      <c r="E212" s="23">
        <v>0</v>
      </c>
      <c r="F212" s="23">
        <v>0</v>
      </c>
      <c r="G212" s="23">
        <v>0</v>
      </c>
      <c r="H212" s="23">
        <v>0</v>
      </c>
      <c r="I212" s="23">
        <v>0</v>
      </c>
      <c r="J212" s="23">
        <v>0</v>
      </c>
      <c r="K212" s="23">
        <v>0</v>
      </c>
      <c r="L212" s="23">
        <v>0</v>
      </c>
      <c r="M212" s="23">
        <v>3</v>
      </c>
      <c r="N212" s="23">
        <v>1</v>
      </c>
      <c r="O212" s="23">
        <v>4</v>
      </c>
      <c r="P212" s="23">
        <v>3</v>
      </c>
      <c r="Q212" s="23">
        <v>4</v>
      </c>
      <c r="R212" s="23">
        <v>11</v>
      </c>
      <c r="S212" s="23">
        <v>9</v>
      </c>
      <c r="T212" s="23">
        <v>20</v>
      </c>
      <c r="U212" s="23">
        <v>18</v>
      </c>
      <c r="V212" s="23">
        <v>30</v>
      </c>
      <c r="W212" s="28">
        <v>32</v>
      </c>
    </row>
    <row r="213" spans="1:23" x14ac:dyDescent="0.25">
      <c r="A213" s="20">
        <v>26</v>
      </c>
      <c r="B213" s="27">
        <v>44743</v>
      </c>
      <c r="C213" s="23">
        <v>193</v>
      </c>
      <c r="D213" s="23">
        <v>1</v>
      </c>
      <c r="E213" s="23">
        <v>0</v>
      </c>
      <c r="F213" s="23">
        <v>0</v>
      </c>
      <c r="G213" s="23">
        <v>0</v>
      </c>
      <c r="H213" s="23">
        <v>0</v>
      </c>
      <c r="I213" s="23">
        <v>0</v>
      </c>
      <c r="J213" s="23">
        <v>0</v>
      </c>
      <c r="K213" s="23">
        <v>0</v>
      </c>
      <c r="L213" s="23">
        <v>0</v>
      </c>
      <c r="M213" s="23">
        <v>2</v>
      </c>
      <c r="N213" s="23">
        <v>3</v>
      </c>
      <c r="O213" s="23">
        <v>4</v>
      </c>
      <c r="P213" s="23">
        <v>8</v>
      </c>
      <c r="Q213" s="23">
        <v>5</v>
      </c>
      <c r="R213" s="23">
        <v>11</v>
      </c>
      <c r="S213" s="23">
        <v>21</v>
      </c>
      <c r="T213" s="23">
        <v>25</v>
      </c>
      <c r="U213" s="23">
        <v>29</v>
      </c>
      <c r="V213" s="23">
        <v>28</v>
      </c>
      <c r="W213" s="28">
        <v>56</v>
      </c>
    </row>
    <row r="214" spans="1:23" x14ac:dyDescent="0.25">
      <c r="A214" s="20">
        <v>27</v>
      </c>
      <c r="B214" s="27">
        <v>44750</v>
      </c>
      <c r="C214" s="23">
        <v>260</v>
      </c>
      <c r="D214" s="23">
        <v>0</v>
      </c>
      <c r="E214" s="23">
        <v>0</v>
      </c>
      <c r="F214" s="23">
        <v>0</v>
      </c>
      <c r="G214" s="23">
        <v>1</v>
      </c>
      <c r="H214" s="23">
        <v>1</v>
      </c>
      <c r="I214" s="23">
        <v>2</v>
      </c>
      <c r="J214" s="23">
        <v>1</v>
      </c>
      <c r="K214" s="23">
        <v>0</v>
      </c>
      <c r="L214" s="23">
        <v>2</v>
      </c>
      <c r="M214" s="23">
        <v>1</v>
      </c>
      <c r="N214" s="23">
        <v>4</v>
      </c>
      <c r="O214" s="23">
        <v>4</v>
      </c>
      <c r="P214" s="23">
        <v>6</v>
      </c>
      <c r="Q214" s="23">
        <v>5</v>
      </c>
      <c r="R214" s="23">
        <v>13</v>
      </c>
      <c r="S214" s="23">
        <v>17</v>
      </c>
      <c r="T214" s="23">
        <v>32</v>
      </c>
      <c r="U214" s="23">
        <v>45</v>
      </c>
      <c r="V214" s="23">
        <v>61</v>
      </c>
      <c r="W214" s="28">
        <v>65</v>
      </c>
    </row>
    <row r="215" spans="1:23" x14ac:dyDescent="0.25">
      <c r="A215" s="20">
        <v>28</v>
      </c>
      <c r="B215" s="27">
        <v>44757</v>
      </c>
      <c r="C215" s="23">
        <v>356</v>
      </c>
      <c r="D215" s="23">
        <v>0</v>
      </c>
      <c r="E215" s="23">
        <v>0</v>
      </c>
      <c r="F215" s="23">
        <v>1</v>
      </c>
      <c r="G215" s="23">
        <v>0</v>
      </c>
      <c r="H215" s="23">
        <v>0</v>
      </c>
      <c r="I215" s="23">
        <v>0</v>
      </c>
      <c r="J215" s="23">
        <v>0</v>
      </c>
      <c r="K215" s="23">
        <v>1</v>
      </c>
      <c r="L215" s="23">
        <v>0</v>
      </c>
      <c r="M215" s="23">
        <v>0</v>
      </c>
      <c r="N215" s="23">
        <v>4</v>
      </c>
      <c r="O215" s="23">
        <v>7</v>
      </c>
      <c r="P215" s="23">
        <v>10</v>
      </c>
      <c r="Q215" s="23">
        <v>13</v>
      </c>
      <c r="R215" s="23">
        <v>18</v>
      </c>
      <c r="S215" s="23">
        <v>36</v>
      </c>
      <c r="T215" s="23">
        <v>41</v>
      </c>
      <c r="U215" s="23">
        <v>41</v>
      </c>
      <c r="V215" s="23">
        <v>80</v>
      </c>
      <c r="W215" s="28">
        <v>104</v>
      </c>
    </row>
    <row r="216" spans="1:23" x14ac:dyDescent="0.25">
      <c r="A216" s="20">
        <v>29</v>
      </c>
      <c r="B216" s="27">
        <v>44764</v>
      </c>
      <c r="C216" s="23">
        <v>451</v>
      </c>
      <c r="D216" s="23">
        <v>0</v>
      </c>
      <c r="E216" s="23">
        <v>1</v>
      </c>
      <c r="F216" s="23">
        <v>0</v>
      </c>
      <c r="G216" s="23">
        <v>0</v>
      </c>
      <c r="H216" s="23">
        <v>0</v>
      </c>
      <c r="I216" s="23">
        <v>0</v>
      </c>
      <c r="J216" s="23">
        <v>0</v>
      </c>
      <c r="K216" s="23">
        <v>0</v>
      </c>
      <c r="L216" s="23">
        <v>1</v>
      </c>
      <c r="M216" s="23">
        <v>1</v>
      </c>
      <c r="N216" s="23">
        <v>3</v>
      </c>
      <c r="O216" s="23">
        <v>8</v>
      </c>
      <c r="P216" s="23">
        <v>8</v>
      </c>
      <c r="Q216" s="23">
        <v>16</v>
      </c>
      <c r="R216" s="23">
        <v>25</v>
      </c>
      <c r="S216" s="23">
        <v>43</v>
      </c>
      <c r="T216" s="23">
        <v>55</v>
      </c>
      <c r="U216" s="23">
        <v>73</v>
      </c>
      <c r="V216" s="23">
        <v>86</v>
      </c>
      <c r="W216" s="28">
        <v>131</v>
      </c>
    </row>
    <row r="217" spans="1:23" x14ac:dyDescent="0.25">
      <c r="A217" s="20">
        <v>30</v>
      </c>
      <c r="B217" s="27">
        <v>44771</v>
      </c>
      <c r="C217" s="23">
        <v>372</v>
      </c>
      <c r="D217" s="23">
        <v>0</v>
      </c>
      <c r="E217" s="23">
        <v>0</v>
      </c>
      <c r="F217" s="23">
        <v>0</v>
      </c>
      <c r="G217" s="23">
        <v>0</v>
      </c>
      <c r="H217" s="23">
        <v>0</v>
      </c>
      <c r="I217" s="23">
        <v>0</v>
      </c>
      <c r="J217" s="23">
        <v>0</v>
      </c>
      <c r="K217" s="23">
        <v>0</v>
      </c>
      <c r="L217" s="23">
        <v>5</v>
      </c>
      <c r="M217" s="23">
        <v>0</v>
      </c>
      <c r="N217" s="23">
        <v>6</v>
      </c>
      <c r="O217" s="23">
        <v>3</v>
      </c>
      <c r="P217" s="23">
        <v>10</v>
      </c>
      <c r="Q217" s="23">
        <v>7</v>
      </c>
      <c r="R217" s="23">
        <v>18</v>
      </c>
      <c r="S217" s="23">
        <v>20</v>
      </c>
      <c r="T217" s="23">
        <v>40</v>
      </c>
      <c r="U217" s="23">
        <v>66</v>
      </c>
      <c r="V217" s="23">
        <v>90</v>
      </c>
      <c r="W217" s="28">
        <v>107</v>
      </c>
    </row>
    <row r="218" spans="1:23" x14ac:dyDescent="0.25">
      <c r="A218" s="20">
        <v>31</v>
      </c>
      <c r="B218" s="27">
        <v>44778</v>
      </c>
      <c r="C218" s="23">
        <v>250</v>
      </c>
      <c r="D218" s="23">
        <v>1</v>
      </c>
      <c r="E218" s="23">
        <v>0</v>
      </c>
      <c r="F218" s="23">
        <v>0</v>
      </c>
      <c r="G218" s="23">
        <v>0</v>
      </c>
      <c r="H218" s="23">
        <v>0</v>
      </c>
      <c r="I218" s="23">
        <v>0</v>
      </c>
      <c r="J218" s="23">
        <v>0</v>
      </c>
      <c r="K218" s="23">
        <v>0</v>
      </c>
      <c r="L218" s="23">
        <v>2</v>
      </c>
      <c r="M218" s="23">
        <v>2</v>
      </c>
      <c r="N218" s="23">
        <v>2</v>
      </c>
      <c r="O218" s="23">
        <v>4</v>
      </c>
      <c r="P218" s="23">
        <v>6</v>
      </c>
      <c r="Q218" s="23">
        <v>3</v>
      </c>
      <c r="R218" s="23">
        <v>13</v>
      </c>
      <c r="S218" s="23">
        <v>20</v>
      </c>
      <c r="T218" s="23">
        <v>30</v>
      </c>
      <c r="U218" s="23">
        <v>47</v>
      </c>
      <c r="V218" s="23">
        <v>45</v>
      </c>
      <c r="W218" s="28">
        <v>75</v>
      </c>
    </row>
    <row r="219" spans="1:23" x14ac:dyDescent="0.25">
      <c r="A219" s="20">
        <v>32</v>
      </c>
      <c r="B219" s="27">
        <v>44785</v>
      </c>
      <c r="C219" s="23">
        <v>264</v>
      </c>
      <c r="D219" s="23">
        <v>0</v>
      </c>
      <c r="E219" s="23">
        <v>0</v>
      </c>
      <c r="F219" s="23">
        <v>0</v>
      </c>
      <c r="G219" s="23">
        <v>0</v>
      </c>
      <c r="H219" s="23">
        <v>0</v>
      </c>
      <c r="I219" s="23">
        <v>0</v>
      </c>
      <c r="J219" s="23">
        <v>0</v>
      </c>
      <c r="K219" s="23">
        <v>0</v>
      </c>
      <c r="L219" s="23">
        <v>1</v>
      </c>
      <c r="M219" s="23">
        <v>0</v>
      </c>
      <c r="N219" s="23">
        <v>1</v>
      </c>
      <c r="O219" s="23">
        <v>4</v>
      </c>
      <c r="P219" s="23">
        <v>4</v>
      </c>
      <c r="Q219" s="23">
        <v>6</v>
      </c>
      <c r="R219" s="23">
        <v>8</v>
      </c>
      <c r="S219" s="23">
        <v>21</v>
      </c>
      <c r="T219" s="23">
        <v>36</v>
      </c>
      <c r="U219" s="23">
        <v>41</v>
      </c>
      <c r="V219" s="23">
        <v>58</v>
      </c>
      <c r="W219" s="28">
        <v>84</v>
      </c>
    </row>
    <row r="220" spans="1:23" x14ac:dyDescent="0.25">
      <c r="A220" s="20">
        <v>33</v>
      </c>
      <c r="B220" s="27">
        <v>44792</v>
      </c>
      <c r="C220" s="23">
        <v>214</v>
      </c>
      <c r="D220" s="23">
        <v>0</v>
      </c>
      <c r="E220" s="23">
        <v>0</v>
      </c>
      <c r="F220" s="23">
        <v>0</v>
      </c>
      <c r="G220" s="23">
        <v>0</v>
      </c>
      <c r="H220" s="23">
        <v>0</v>
      </c>
      <c r="I220" s="23">
        <v>0</v>
      </c>
      <c r="J220" s="23">
        <v>0</v>
      </c>
      <c r="K220" s="23">
        <v>1</v>
      </c>
      <c r="L220" s="23">
        <v>1</v>
      </c>
      <c r="M220" s="23">
        <v>1</v>
      </c>
      <c r="N220" s="23">
        <v>3</v>
      </c>
      <c r="O220" s="23">
        <v>1</v>
      </c>
      <c r="P220" s="23">
        <v>4</v>
      </c>
      <c r="Q220" s="23">
        <v>7</v>
      </c>
      <c r="R220" s="23">
        <v>10</v>
      </c>
      <c r="S220" s="23">
        <v>21</v>
      </c>
      <c r="T220" s="23">
        <v>23</v>
      </c>
      <c r="U220" s="23">
        <v>34</v>
      </c>
      <c r="V220" s="23">
        <v>35</v>
      </c>
      <c r="W220" s="28">
        <v>73</v>
      </c>
    </row>
    <row r="221" spans="1:23" x14ac:dyDescent="0.25">
      <c r="A221" s="20">
        <v>34</v>
      </c>
      <c r="B221" s="27">
        <v>44799</v>
      </c>
      <c r="C221" s="23">
        <v>184</v>
      </c>
      <c r="D221" s="23">
        <v>0</v>
      </c>
      <c r="E221" s="23">
        <v>0</v>
      </c>
      <c r="F221" s="23">
        <v>0</v>
      </c>
      <c r="G221" s="23">
        <v>0</v>
      </c>
      <c r="H221" s="23">
        <v>0</v>
      </c>
      <c r="I221" s="23">
        <v>0</v>
      </c>
      <c r="J221" s="23">
        <v>0</v>
      </c>
      <c r="K221" s="23">
        <v>1</v>
      </c>
      <c r="L221" s="23">
        <v>0</v>
      </c>
      <c r="M221" s="23">
        <v>1</v>
      </c>
      <c r="N221" s="23">
        <v>4</v>
      </c>
      <c r="O221" s="23">
        <v>2</v>
      </c>
      <c r="P221" s="23">
        <v>3</v>
      </c>
      <c r="Q221" s="23">
        <v>2</v>
      </c>
      <c r="R221" s="23">
        <v>15</v>
      </c>
      <c r="S221" s="23">
        <v>19</v>
      </c>
      <c r="T221" s="23">
        <v>10</v>
      </c>
      <c r="U221" s="23">
        <v>37</v>
      </c>
      <c r="V221" s="23">
        <v>39</v>
      </c>
      <c r="W221" s="28">
        <v>51</v>
      </c>
    </row>
    <row r="222" spans="1:23" x14ac:dyDescent="0.25">
      <c r="A222" s="20">
        <v>35</v>
      </c>
      <c r="B222" s="27">
        <v>44806</v>
      </c>
      <c r="C222" s="23">
        <v>146</v>
      </c>
      <c r="D222" s="23">
        <v>0</v>
      </c>
      <c r="E222" s="23">
        <v>0</v>
      </c>
      <c r="F222" s="23">
        <v>0</v>
      </c>
      <c r="G222" s="23">
        <v>0</v>
      </c>
      <c r="H222" s="23">
        <v>0</v>
      </c>
      <c r="I222" s="23">
        <v>0</v>
      </c>
      <c r="J222" s="23">
        <v>0</v>
      </c>
      <c r="K222" s="23">
        <v>0</v>
      </c>
      <c r="L222" s="23">
        <v>1</v>
      </c>
      <c r="M222" s="23">
        <v>1</v>
      </c>
      <c r="N222" s="23">
        <v>0</v>
      </c>
      <c r="O222" s="23">
        <v>2</v>
      </c>
      <c r="P222" s="23">
        <v>1</v>
      </c>
      <c r="Q222" s="23">
        <v>4</v>
      </c>
      <c r="R222" s="23">
        <v>10</v>
      </c>
      <c r="S222" s="23">
        <v>8</v>
      </c>
      <c r="T222" s="23">
        <v>18</v>
      </c>
      <c r="U222" s="23">
        <v>24</v>
      </c>
      <c r="V222" s="23">
        <v>34</v>
      </c>
      <c r="W222" s="28">
        <v>43</v>
      </c>
    </row>
    <row r="223" spans="1:23" x14ac:dyDescent="0.25">
      <c r="A223" s="20">
        <v>36</v>
      </c>
      <c r="B223" s="27">
        <v>44813</v>
      </c>
      <c r="C223" s="23">
        <v>114</v>
      </c>
      <c r="D223" s="23">
        <v>0</v>
      </c>
      <c r="E223" s="23">
        <v>0</v>
      </c>
      <c r="F223" s="23">
        <v>0</v>
      </c>
      <c r="G223" s="23">
        <v>0</v>
      </c>
      <c r="H223" s="23">
        <v>0</v>
      </c>
      <c r="I223" s="23">
        <v>1</v>
      </c>
      <c r="J223" s="23">
        <v>0</v>
      </c>
      <c r="K223" s="23">
        <v>0</v>
      </c>
      <c r="L223" s="23">
        <v>0</v>
      </c>
      <c r="M223" s="23">
        <v>1</v>
      </c>
      <c r="N223" s="23">
        <v>0</v>
      </c>
      <c r="O223" s="23">
        <v>4</v>
      </c>
      <c r="P223" s="23">
        <v>3</v>
      </c>
      <c r="Q223" s="23">
        <v>3</v>
      </c>
      <c r="R223" s="23">
        <v>4</v>
      </c>
      <c r="S223" s="23">
        <v>10</v>
      </c>
      <c r="T223" s="23">
        <v>14</v>
      </c>
      <c r="U223" s="23">
        <v>20</v>
      </c>
      <c r="V223" s="23">
        <v>20</v>
      </c>
      <c r="W223" s="28">
        <v>34</v>
      </c>
    </row>
    <row r="224" spans="1:23" x14ac:dyDescent="0.25">
      <c r="A224" s="20">
        <v>37</v>
      </c>
      <c r="B224" s="27">
        <v>44820</v>
      </c>
      <c r="C224" s="23">
        <v>102</v>
      </c>
      <c r="D224" s="23">
        <v>0</v>
      </c>
      <c r="E224" s="23">
        <v>0</v>
      </c>
      <c r="F224" s="23">
        <v>0</v>
      </c>
      <c r="G224" s="23">
        <v>0</v>
      </c>
      <c r="H224" s="23">
        <v>0</v>
      </c>
      <c r="I224" s="23">
        <v>0</v>
      </c>
      <c r="J224" s="23">
        <v>0</v>
      </c>
      <c r="K224" s="23">
        <v>0</v>
      </c>
      <c r="L224" s="23">
        <v>0</v>
      </c>
      <c r="M224" s="23">
        <v>0</v>
      </c>
      <c r="N224" s="23">
        <v>1</v>
      </c>
      <c r="O224" s="23">
        <v>5</v>
      </c>
      <c r="P224" s="23">
        <v>2</v>
      </c>
      <c r="Q224" s="23">
        <v>1</v>
      </c>
      <c r="R224" s="23">
        <v>3</v>
      </c>
      <c r="S224" s="23">
        <v>12</v>
      </c>
      <c r="T224" s="23">
        <v>10</v>
      </c>
      <c r="U224" s="23">
        <v>19</v>
      </c>
      <c r="V224" s="23">
        <v>23</v>
      </c>
      <c r="W224" s="28">
        <v>26</v>
      </c>
    </row>
    <row r="225" spans="1:23" x14ac:dyDescent="0.25">
      <c r="A225" s="20">
        <v>38</v>
      </c>
      <c r="B225" s="27">
        <v>44827</v>
      </c>
      <c r="C225" s="23">
        <v>120</v>
      </c>
      <c r="D225" s="23">
        <v>0</v>
      </c>
      <c r="E225" s="23">
        <v>0</v>
      </c>
      <c r="F225" s="23">
        <v>0</v>
      </c>
      <c r="G225" s="23">
        <v>0</v>
      </c>
      <c r="H225" s="23">
        <v>0</v>
      </c>
      <c r="I225" s="23">
        <v>0</v>
      </c>
      <c r="J225" s="23">
        <v>0</v>
      </c>
      <c r="K225" s="23">
        <v>0</v>
      </c>
      <c r="L225" s="23">
        <v>0</v>
      </c>
      <c r="M225" s="23">
        <v>0</v>
      </c>
      <c r="N225" s="23">
        <v>2</v>
      </c>
      <c r="O225" s="23">
        <v>1</v>
      </c>
      <c r="P225" s="23">
        <v>3</v>
      </c>
      <c r="Q225" s="23">
        <v>2</v>
      </c>
      <c r="R225" s="23">
        <v>3</v>
      </c>
      <c r="S225" s="23">
        <v>7</v>
      </c>
      <c r="T225" s="23">
        <v>25</v>
      </c>
      <c r="U225" s="23">
        <v>19</v>
      </c>
      <c r="V225" s="23">
        <v>26</v>
      </c>
      <c r="W225" s="28">
        <v>32</v>
      </c>
    </row>
    <row r="226" spans="1:23" x14ac:dyDescent="0.25">
      <c r="A226" s="20">
        <v>39</v>
      </c>
      <c r="B226" s="27">
        <v>44834</v>
      </c>
      <c r="C226" s="23">
        <v>159</v>
      </c>
      <c r="D226" s="23">
        <v>0</v>
      </c>
      <c r="E226" s="23">
        <v>0</v>
      </c>
      <c r="F226" s="23">
        <v>0</v>
      </c>
      <c r="G226" s="23">
        <v>0</v>
      </c>
      <c r="H226" s="23">
        <v>0</v>
      </c>
      <c r="I226" s="23">
        <v>0</v>
      </c>
      <c r="J226" s="23">
        <v>0</v>
      </c>
      <c r="K226" s="23">
        <v>2</v>
      </c>
      <c r="L226" s="23">
        <v>0</v>
      </c>
      <c r="M226" s="23">
        <v>0</v>
      </c>
      <c r="N226" s="23">
        <v>1</v>
      </c>
      <c r="O226" s="23">
        <v>3</v>
      </c>
      <c r="P226" s="23">
        <v>6</v>
      </c>
      <c r="Q226" s="23">
        <v>5</v>
      </c>
      <c r="R226" s="23">
        <v>11</v>
      </c>
      <c r="S226" s="23">
        <v>12</v>
      </c>
      <c r="T226" s="23">
        <v>20</v>
      </c>
      <c r="U226" s="23">
        <v>19</v>
      </c>
      <c r="V226" s="23">
        <v>39</v>
      </c>
      <c r="W226" s="28">
        <v>41</v>
      </c>
    </row>
    <row r="227" spans="1:23" x14ac:dyDescent="0.25">
      <c r="A227" s="20">
        <v>40</v>
      </c>
      <c r="B227" s="27">
        <v>44841</v>
      </c>
      <c r="C227" s="23">
        <v>283</v>
      </c>
      <c r="D227" s="23">
        <v>0</v>
      </c>
      <c r="E227" s="23">
        <v>0</v>
      </c>
      <c r="F227" s="23">
        <v>0</v>
      </c>
      <c r="G227" s="23">
        <v>0</v>
      </c>
      <c r="H227" s="23">
        <v>0</v>
      </c>
      <c r="I227" s="23">
        <v>0</v>
      </c>
      <c r="J227" s="23">
        <v>0</v>
      </c>
      <c r="K227" s="23">
        <v>1</v>
      </c>
      <c r="L227" s="23">
        <v>0</v>
      </c>
      <c r="M227" s="23">
        <v>0</v>
      </c>
      <c r="N227" s="23">
        <v>1</v>
      </c>
      <c r="O227" s="23">
        <v>2</v>
      </c>
      <c r="P227" s="23">
        <v>6</v>
      </c>
      <c r="Q227" s="23">
        <v>9</v>
      </c>
      <c r="R227" s="23">
        <v>11</v>
      </c>
      <c r="S227" s="23">
        <v>18</v>
      </c>
      <c r="T227" s="23">
        <v>39</v>
      </c>
      <c r="U227" s="23">
        <v>45</v>
      </c>
      <c r="V227" s="23">
        <v>60</v>
      </c>
      <c r="W227" s="28">
        <v>91</v>
      </c>
    </row>
    <row r="228" spans="1:23" x14ac:dyDescent="0.25">
      <c r="A228" s="20">
        <v>41</v>
      </c>
      <c r="B228" s="27">
        <v>44848</v>
      </c>
      <c r="C228" s="23">
        <v>309</v>
      </c>
      <c r="D228" s="23">
        <v>0</v>
      </c>
      <c r="E228" s="23">
        <v>0</v>
      </c>
      <c r="F228" s="23">
        <v>0</v>
      </c>
      <c r="G228" s="23">
        <v>0</v>
      </c>
      <c r="H228" s="23">
        <v>0</v>
      </c>
      <c r="I228" s="23">
        <v>1</v>
      </c>
      <c r="J228" s="23">
        <v>1</v>
      </c>
      <c r="K228" s="23">
        <v>2</v>
      </c>
      <c r="L228" s="23">
        <v>0</v>
      </c>
      <c r="M228" s="23">
        <v>2</v>
      </c>
      <c r="N228" s="23">
        <v>0</v>
      </c>
      <c r="O228" s="23">
        <v>10</v>
      </c>
      <c r="P228" s="23">
        <v>12</v>
      </c>
      <c r="Q228" s="23">
        <v>8</v>
      </c>
      <c r="R228" s="23">
        <v>10</v>
      </c>
      <c r="S228" s="23">
        <v>23</v>
      </c>
      <c r="T228" s="23">
        <v>38</v>
      </c>
      <c r="U228" s="23">
        <v>50</v>
      </c>
      <c r="V228" s="23">
        <v>62</v>
      </c>
      <c r="W228" s="28">
        <v>90</v>
      </c>
    </row>
    <row r="229" spans="1:23" x14ac:dyDescent="0.25">
      <c r="A229" s="20">
        <v>42</v>
      </c>
      <c r="B229" s="27">
        <v>44855</v>
      </c>
      <c r="C229" s="23">
        <v>332</v>
      </c>
      <c r="D229" s="23">
        <v>0</v>
      </c>
      <c r="E229" s="23">
        <v>0</v>
      </c>
      <c r="F229" s="23">
        <v>0</v>
      </c>
      <c r="G229" s="23">
        <v>0</v>
      </c>
      <c r="H229" s="23">
        <v>0</v>
      </c>
      <c r="I229" s="23">
        <v>1</v>
      </c>
      <c r="J229" s="23">
        <v>0</v>
      </c>
      <c r="K229" s="23">
        <v>0</v>
      </c>
      <c r="L229" s="23">
        <v>0</v>
      </c>
      <c r="M229" s="23">
        <v>0</v>
      </c>
      <c r="N229" s="23">
        <v>2</v>
      </c>
      <c r="O229" s="23">
        <v>9</v>
      </c>
      <c r="P229" s="23">
        <v>2</v>
      </c>
      <c r="Q229" s="23">
        <v>14</v>
      </c>
      <c r="R229" s="23">
        <v>12</v>
      </c>
      <c r="S229" s="23">
        <v>21</v>
      </c>
      <c r="T229" s="23">
        <v>52</v>
      </c>
      <c r="U229" s="23">
        <v>53</v>
      </c>
      <c r="V229" s="23">
        <v>73</v>
      </c>
      <c r="W229" s="28">
        <v>93</v>
      </c>
    </row>
    <row r="230" spans="1:23" x14ac:dyDescent="0.25">
      <c r="A230" s="20">
        <v>43</v>
      </c>
      <c r="B230" s="27">
        <v>44862</v>
      </c>
      <c r="C230" s="23">
        <v>311</v>
      </c>
      <c r="D230" s="23">
        <v>0</v>
      </c>
      <c r="E230" s="23">
        <v>0</v>
      </c>
      <c r="F230" s="23">
        <v>0</v>
      </c>
      <c r="G230" s="23">
        <v>0</v>
      </c>
      <c r="H230" s="23">
        <v>0</v>
      </c>
      <c r="I230" s="23">
        <v>0</v>
      </c>
      <c r="J230" s="23">
        <v>0</v>
      </c>
      <c r="K230" s="23">
        <v>0</v>
      </c>
      <c r="L230" s="23">
        <v>0</v>
      </c>
      <c r="M230" s="23">
        <v>0</v>
      </c>
      <c r="N230" s="23">
        <v>5</v>
      </c>
      <c r="O230" s="23">
        <v>1</v>
      </c>
      <c r="P230" s="23">
        <v>3</v>
      </c>
      <c r="Q230" s="23">
        <v>9</v>
      </c>
      <c r="R230" s="23">
        <v>11</v>
      </c>
      <c r="S230" s="23">
        <v>30</v>
      </c>
      <c r="T230" s="23">
        <v>45</v>
      </c>
      <c r="U230" s="23">
        <v>48</v>
      </c>
      <c r="V230" s="23">
        <v>61</v>
      </c>
      <c r="W230" s="28">
        <v>98</v>
      </c>
    </row>
    <row r="231" spans="1:23" x14ac:dyDescent="0.25">
      <c r="A231" s="20">
        <v>44</v>
      </c>
      <c r="B231" s="27">
        <v>44869</v>
      </c>
      <c r="C231" s="23">
        <v>242</v>
      </c>
      <c r="D231" s="23">
        <v>0</v>
      </c>
      <c r="E231" s="23">
        <v>0</v>
      </c>
      <c r="F231" s="23">
        <v>0</v>
      </c>
      <c r="G231" s="23">
        <v>0</v>
      </c>
      <c r="H231" s="23">
        <v>0</v>
      </c>
      <c r="I231" s="23">
        <v>0</v>
      </c>
      <c r="J231" s="23">
        <v>0</v>
      </c>
      <c r="K231" s="23">
        <v>0</v>
      </c>
      <c r="L231" s="23">
        <v>1</v>
      </c>
      <c r="M231" s="23">
        <v>2</v>
      </c>
      <c r="N231" s="23">
        <v>1</v>
      </c>
      <c r="O231" s="23">
        <v>0</v>
      </c>
      <c r="P231" s="23">
        <v>5</v>
      </c>
      <c r="Q231" s="23">
        <v>10</v>
      </c>
      <c r="R231" s="23">
        <v>13</v>
      </c>
      <c r="S231" s="23">
        <v>23</v>
      </c>
      <c r="T231" s="23">
        <v>27</v>
      </c>
      <c r="U231" s="23">
        <v>46</v>
      </c>
      <c r="V231" s="23">
        <v>47</v>
      </c>
      <c r="W231" s="28">
        <v>67</v>
      </c>
    </row>
    <row r="232" spans="1:23" x14ac:dyDescent="0.25">
      <c r="A232" s="20">
        <v>45</v>
      </c>
      <c r="B232" s="27">
        <v>44876</v>
      </c>
      <c r="C232" s="23">
        <v>188</v>
      </c>
      <c r="D232" s="23">
        <v>1</v>
      </c>
      <c r="E232" s="23">
        <v>0</v>
      </c>
      <c r="F232" s="23">
        <v>0</v>
      </c>
      <c r="G232" s="23">
        <v>0</v>
      </c>
      <c r="H232" s="23">
        <v>0</v>
      </c>
      <c r="I232" s="23">
        <v>0</v>
      </c>
      <c r="J232" s="23">
        <v>0</v>
      </c>
      <c r="K232" s="23">
        <v>0</v>
      </c>
      <c r="L232" s="23">
        <v>0</v>
      </c>
      <c r="M232" s="23">
        <v>0</v>
      </c>
      <c r="N232" s="23">
        <v>1</v>
      </c>
      <c r="O232" s="23">
        <v>4</v>
      </c>
      <c r="P232" s="23">
        <v>6</v>
      </c>
      <c r="Q232" s="23">
        <v>7</v>
      </c>
      <c r="R232" s="23">
        <v>10</v>
      </c>
      <c r="S232" s="23">
        <v>18</v>
      </c>
      <c r="T232" s="23">
        <v>23</v>
      </c>
      <c r="U232" s="23">
        <v>23</v>
      </c>
      <c r="V232" s="23">
        <v>41</v>
      </c>
      <c r="W232" s="28">
        <v>54</v>
      </c>
    </row>
    <row r="233" spans="1:23" x14ac:dyDescent="0.25">
      <c r="A233" s="20">
        <v>46</v>
      </c>
      <c r="B233" s="27">
        <v>44883</v>
      </c>
      <c r="C233" s="23">
        <v>161</v>
      </c>
      <c r="D233" s="23">
        <v>0</v>
      </c>
      <c r="E233" s="23">
        <v>0</v>
      </c>
      <c r="F233" s="23">
        <v>0</v>
      </c>
      <c r="G233" s="23">
        <v>0</v>
      </c>
      <c r="H233" s="23">
        <v>0</v>
      </c>
      <c r="I233" s="23">
        <v>0</v>
      </c>
      <c r="J233" s="23">
        <v>0</v>
      </c>
      <c r="K233" s="23">
        <v>0</v>
      </c>
      <c r="L233" s="23">
        <v>0</v>
      </c>
      <c r="M233" s="23">
        <v>1</v>
      </c>
      <c r="N233" s="23">
        <v>0</v>
      </c>
      <c r="O233" s="23">
        <v>0</v>
      </c>
      <c r="P233" s="23">
        <v>3</v>
      </c>
      <c r="Q233" s="23">
        <v>4</v>
      </c>
      <c r="R233" s="23">
        <v>7</v>
      </c>
      <c r="S233" s="23">
        <v>11</v>
      </c>
      <c r="T233" s="23">
        <v>19</v>
      </c>
      <c r="U233" s="23">
        <v>27</v>
      </c>
      <c r="V233" s="23">
        <v>44</v>
      </c>
      <c r="W233" s="28">
        <v>45</v>
      </c>
    </row>
    <row r="234" spans="1:23" x14ac:dyDescent="0.25">
      <c r="A234" s="20">
        <v>47</v>
      </c>
      <c r="B234" s="27">
        <v>44890</v>
      </c>
      <c r="C234" s="23">
        <v>155</v>
      </c>
      <c r="D234" s="23">
        <v>0</v>
      </c>
      <c r="E234" s="23">
        <v>0</v>
      </c>
      <c r="F234" s="23">
        <v>0</v>
      </c>
      <c r="G234" s="23">
        <v>0</v>
      </c>
      <c r="H234" s="23">
        <v>0</v>
      </c>
      <c r="I234" s="23">
        <v>0</v>
      </c>
      <c r="J234" s="23">
        <v>0</v>
      </c>
      <c r="K234" s="23">
        <v>0</v>
      </c>
      <c r="L234" s="23">
        <v>1</v>
      </c>
      <c r="M234" s="23">
        <v>3</v>
      </c>
      <c r="N234" s="23">
        <v>5</v>
      </c>
      <c r="O234" s="23">
        <v>4</v>
      </c>
      <c r="P234" s="23">
        <v>0</v>
      </c>
      <c r="Q234" s="23">
        <v>6</v>
      </c>
      <c r="R234" s="23">
        <v>4</v>
      </c>
      <c r="S234" s="23">
        <v>15</v>
      </c>
      <c r="T234" s="23">
        <v>17</v>
      </c>
      <c r="U234" s="23">
        <v>25</v>
      </c>
      <c r="V234" s="23">
        <v>36</v>
      </c>
      <c r="W234" s="28">
        <v>39</v>
      </c>
    </row>
    <row r="235" spans="1:23" x14ac:dyDescent="0.25">
      <c r="A235" s="20">
        <v>48</v>
      </c>
      <c r="B235" s="27">
        <v>44897</v>
      </c>
      <c r="C235" s="23">
        <v>145</v>
      </c>
      <c r="D235" s="23">
        <v>1</v>
      </c>
      <c r="E235" s="23">
        <v>0</v>
      </c>
      <c r="F235" s="23">
        <v>0</v>
      </c>
      <c r="G235" s="23">
        <v>0</v>
      </c>
      <c r="H235" s="23">
        <v>0</v>
      </c>
      <c r="I235" s="23">
        <v>1</v>
      </c>
      <c r="J235" s="23">
        <v>0</v>
      </c>
      <c r="K235" s="23">
        <v>0</v>
      </c>
      <c r="L235" s="23">
        <v>0</v>
      </c>
      <c r="M235" s="23">
        <v>0</v>
      </c>
      <c r="N235" s="23">
        <v>0</v>
      </c>
      <c r="O235" s="23">
        <v>1</v>
      </c>
      <c r="P235" s="23">
        <v>3</v>
      </c>
      <c r="Q235" s="23">
        <v>3</v>
      </c>
      <c r="R235" s="23">
        <v>6</v>
      </c>
      <c r="S235" s="23">
        <v>11</v>
      </c>
      <c r="T235" s="23">
        <v>21</v>
      </c>
      <c r="U235" s="23">
        <v>21</v>
      </c>
      <c r="V235" s="23">
        <v>34</v>
      </c>
      <c r="W235" s="28">
        <v>43</v>
      </c>
    </row>
    <row r="236" spans="1:23" x14ac:dyDescent="0.25">
      <c r="A236" s="20">
        <v>49</v>
      </c>
      <c r="B236" s="27">
        <v>44904</v>
      </c>
      <c r="C236" s="23">
        <v>196</v>
      </c>
      <c r="D236" s="23">
        <v>0</v>
      </c>
      <c r="E236" s="23">
        <v>0</v>
      </c>
      <c r="F236" s="23">
        <v>0</v>
      </c>
      <c r="G236" s="23">
        <v>0</v>
      </c>
      <c r="H236" s="23">
        <v>1</v>
      </c>
      <c r="I236" s="23">
        <v>0</v>
      </c>
      <c r="J236" s="23">
        <v>0</v>
      </c>
      <c r="K236" s="23">
        <v>1</v>
      </c>
      <c r="L236" s="23">
        <v>1</v>
      </c>
      <c r="M236" s="23">
        <v>0</v>
      </c>
      <c r="N236" s="23">
        <v>2</v>
      </c>
      <c r="O236" s="23">
        <v>7</v>
      </c>
      <c r="P236" s="23">
        <v>2</v>
      </c>
      <c r="Q236" s="23">
        <v>7</v>
      </c>
      <c r="R236" s="23">
        <v>4</v>
      </c>
      <c r="S236" s="23">
        <v>11</v>
      </c>
      <c r="T236" s="23">
        <v>25</v>
      </c>
      <c r="U236" s="23">
        <v>31</v>
      </c>
      <c r="V236" s="23">
        <v>40</v>
      </c>
      <c r="W236" s="28">
        <v>64</v>
      </c>
    </row>
    <row r="237" spans="1:23" x14ac:dyDescent="0.25">
      <c r="A237" s="20">
        <v>50</v>
      </c>
      <c r="B237" s="27">
        <v>44911</v>
      </c>
      <c r="C237" s="23">
        <v>222</v>
      </c>
      <c r="D237" s="23">
        <v>0</v>
      </c>
      <c r="E237" s="23">
        <v>0</v>
      </c>
      <c r="F237" s="23">
        <v>0</v>
      </c>
      <c r="G237" s="23">
        <v>0</v>
      </c>
      <c r="H237" s="23">
        <v>0</v>
      </c>
      <c r="I237" s="23">
        <v>0</v>
      </c>
      <c r="J237" s="23">
        <v>0</v>
      </c>
      <c r="K237" s="23">
        <v>1</v>
      </c>
      <c r="L237" s="23">
        <v>1</v>
      </c>
      <c r="M237" s="23">
        <v>1</v>
      </c>
      <c r="N237" s="23">
        <v>1</v>
      </c>
      <c r="O237" s="23">
        <v>0</v>
      </c>
      <c r="P237" s="23">
        <v>3</v>
      </c>
      <c r="Q237" s="23">
        <v>8</v>
      </c>
      <c r="R237" s="23">
        <v>7</v>
      </c>
      <c r="S237" s="23">
        <v>21</v>
      </c>
      <c r="T237" s="23">
        <v>28</v>
      </c>
      <c r="U237" s="23">
        <v>29</v>
      </c>
      <c r="V237" s="23">
        <v>51</v>
      </c>
      <c r="W237" s="28">
        <v>71</v>
      </c>
    </row>
    <row r="238" spans="1:23" x14ac:dyDescent="0.25">
      <c r="A238" s="20">
        <v>51</v>
      </c>
      <c r="B238" s="27">
        <v>44918</v>
      </c>
      <c r="C238" s="23">
        <v>334</v>
      </c>
      <c r="D238" s="23">
        <v>0</v>
      </c>
      <c r="E238" s="23">
        <v>0</v>
      </c>
      <c r="F238" s="23">
        <v>0</v>
      </c>
      <c r="G238" s="23">
        <v>0</v>
      </c>
      <c r="H238" s="23">
        <v>0</v>
      </c>
      <c r="I238" s="23">
        <v>0</v>
      </c>
      <c r="J238" s="23">
        <v>0</v>
      </c>
      <c r="K238" s="23">
        <v>0</v>
      </c>
      <c r="L238" s="23">
        <v>2</v>
      </c>
      <c r="M238" s="23">
        <v>1</v>
      </c>
      <c r="N238" s="23">
        <v>1</v>
      </c>
      <c r="O238" s="23">
        <v>5</v>
      </c>
      <c r="P238" s="23">
        <v>3</v>
      </c>
      <c r="Q238" s="23">
        <v>10</v>
      </c>
      <c r="R238" s="23">
        <v>8</v>
      </c>
      <c r="S238" s="23">
        <v>29</v>
      </c>
      <c r="T238" s="23">
        <v>35</v>
      </c>
      <c r="U238" s="23">
        <v>55</v>
      </c>
      <c r="V238" s="23">
        <v>73</v>
      </c>
      <c r="W238" s="28">
        <v>112</v>
      </c>
    </row>
    <row r="239" spans="1:23" x14ac:dyDescent="0.25">
      <c r="A239" s="20">
        <v>52</v>
      </c>
      <c r="B239" s="27">
        <v>44925</v>
      </c>
      <c r="C239" s="23">
        <v>388</v>
      </c>
      <c r="D239" s="23">
        <v>0</v>
      </c>
      <c r="E239" s="23">
        <v>0</v>
      </c>
      <c r="F239" s="23">
        <v>0</v>
      </c>
      <c r="G239" s="23">
        <v>0</v>
      </c>
      <c r="H239" s="23">
        <v>0</v>
      </c>
      <c r="I239" s="23">
        <v>0</v>
      </c>
      <c r="J239" s="23">
        <v>0</v>
      </c>
      <c r="K239" s="23">
        <v>1</v>
      </c>
      <c r="L239" s="23">
        <v>1</v>
      </c>
      <c r="M239" s="23">
        <v>3</v>
      </c>
      <c r="N239" s="23">
        <v>0</v>
      </c>
      <c r="O239" s="23">
        <v>7</v>
      </c>
      <c r="P239" s="23">
        <v>4</v>
      </c>
      <c r="Q239" s="23">
        <v>11</v>
      </c>
      <c r="R239" s="23">
        <v>14</v>
      </c>
      <c r="S239" s="23">
        <v>24</v>
      </c>
      <c r="T239" s="23">
        <v>48</v>
      </c>
      <c r="U239" s="23">
        <v>67</v>
      </c>
      <c r="V239" s="23">
        <v>72</v>
      </c>
      <c r="W239" s="28">
        <v>136</v>
      </c>
    </row>
    <row r="240" spans="1:23" x14ac:dyDescent="0.25">
      <c r="A240" s="20">
        <v>1</v>
      </c>
      <c r="B240" s="27">
        <v>44932</v>
      </c>
      <c r="C240" s="23">
        <v>424</v>
      </c>
      <c r="D240" s="23">
        <v>0</v>
      </c>
      <c r="E240" s="23">
        <v>0</v>
      </c>
      <c r="F240" s="23">
        <v>0</v>
      </c>
      <c r="G240" s="23">
        <v>0</v>
      </c>
      <c r="H240" s="23">
        <v>0</v>
      </c>
      <c r="I240" s="23">
        <v>0</v>
      </c>
      <c r="J240" s="23">
        <v>1</v>
      </c>
      <c r="K240" s="23">
        <v>0</v>
      </c>
      <c r="L240" s="23">
        <v>2</v>
      </c>
      <c r="M240" s="23">
        <v>4</v>
      </c>
      <c r="N240" s="23">
        <v>2</v>
      </c>
      <c r="O240" s="23">
        <v>11</v>
      </c>
      <c r="P240" s="23">
        <v>5</v>
      </c>
      <c r="Q240" s="23">
        <v>15</v>
      </c>
      <c r="R240" s="23">
        <v>19</v>
      </c>
      <c r="S240" s="23">
        <v>34</v>
      </c>
      <c r="T240" s="23">
        <v>45</v>
      </c>
      <c r="U240" s="23">
        <v>56</v>
      </c>
      <c r="V240" s="23">
        <v>96</v>
      </c>
      <c r="W240" s="28">
        <v>134</v>
      </c>
    </row>
    <row r="241" spans="1:23" x14ac:dyDescent="0.25">
      <c r="A241" s="20">
        <v>2</v>
      </c>
      <c r="B241" s="27">
        <v>44939</v>
      </c>
      <c r="C241" s="23">
        <v>347</v>
      </c>
      <c r="D241" s="23">
        <v>0</v>
      </c>
      <c r="E241" s="23">
        <v>0</v>
      </c>
      <c r="F241" s="23">
        <v>0</v>
      </c>
      <c r="G241" s="23">
        <v>0</v>
      </c>
      <c r="H241" s="23">
        <v>0</v>
      </c>
      <c r="I241" s="23">
        <v>0</v>
      </c>
      <c r="J241" s="23">
        <v>0</v>
      </c>
      <c r="K241" s="23">
        <v>1</v>
      </c>
      <c r="L241" s="23">
        <v>1</v>
      </c>
      <c r="M241" s="23">
        <v>0</v>
      </c>
      <c r="N241" s="23">
        <v>1</v>
      </c>
      <c r="O241" s="23">
        <v>4</v>
      </c>
      <c r="P241" s="23">
        <v>11</v>
      </c>
      <c r="Q241" s="23">
        <v>9</v>
      </c>
      <c r="R241" s="23">
        <v>15</v>
      </c>
      <c r="S241" s="23">
        <v>14</v>
      </c>
      <c r="T241" s="23">
        <v>33</v>
      </c>
      <c r="U241" s="23">
        <v>55</v>
      </c>
      <c r="V241" s="23">
        <v>82</v>
      </c>
      <c r="W241" s="28">
        <v>121</v>
      </c>
    </row>
    <row r="242" spans="1:23" x14ac:dyDescent="0.25">
      <c r="A242" s="20">
        <v>3</v>
      </c>
      <c r="B242" s="27">
        <v>44946</v>
      </c>
      <c r="C242" s="23">
        <v>285</v>
      </c>
      <c r="D242" s="23">
        <v>0</v>
      </c>
      <c r="E242" s="23">
        <v>0</v>
      </c>
      <c r="F242" s="23">
        <v>0</v>
      </c>
      <c r="G242" s="23">
        <v>0</v>
      </c>
      <c r="H242" s="23">
        <v>0</v>
      </c>
      <c r="I242" s="23">
        <v>0</v>
      </c>
      <c r="J242" s="23">
        <v>0</v>
      </c>
      <c r="K242" s="23">
        <v>0</v>
      </c>
      <c r="L242" s="23">
        <v>0</v>
      </c>
      <c r="M242" s="23">
        <v>3</v>
      </c>
      <c r="N242" s="23">
        <v>3</v>
      </c>
      <c r="O242" s="23">
        <v>2</v>
      </c>
      <c r="P242" s="23">
        <v>7</v>
      </c>
      <c r="Q242" s="23">
        <v>4</v>
      </c>
      <c r="R242" s="23">
        <v>13</v>
      </c>
      <c r="S242" s="23">
        <v>16</v>
      </c>
      <c r="T242" s="23">
        <v>30</v>
      </c>
      <c r="U242" s="23">
        <v>38</v>
      </c>
      <c r="V242" s="23">
        <v>67</v>
      </c>
      <c r="W242" s="28">
        <v>102</v>
      </c>
    </row>
    <row r="243" spans="1:23" x14ac:dyDescent="0.25">
      <c r="A243" s="20">
        <v>4</v>
      </c>
      <c r="B243" s="27">
        <v>44953</v>
      </c>
      <c r="C243" s="23">
        <v>216</v>
      </c>
      <c r="D243" s="23">
        <v>1</v>
      </c>
      <c r="E243" s="23">
        <v>0</v>
      </c>
      <c r="F243" s="23">
        <v>0</v>
      </c>
      <c r="G243" s="23">
        <v>1</v>
      </c>
      <c r="H243" s="23">
        <v>0</v>
      </c>
      <c r="I243" s="23">
        <v>0</v>
      </c>
      <c r="J243" s="23">
        <v>0</v>
      </c>
      <c r="K243" s="23">
        <v>0</v>
      </c>
      <c r="L243" s="23">
        <v>1</v>
      </c>
      <c r="M243" s="23">
        <v>1</v>
      </c>
      <c r="N243" s="23">
        <v>4</v>
      </c>
      <c r="O243" s="23">
        <v>1</v>
      </c>
      <c r="P243" s="23">
        <v>5</v>
      </c>
      <c r="Q243" s="23">
        <v>2</v>
      </c>
      <c r="R243" s="23">
        <v>8</v>
      </c>
      <c r="S243" s="23">
        <v>7</v>
      </c>
      <c r="T243" s="23">
        <v>28</v>
      </c>
      <c r="U243" s="23">
        <v>37</v>
      </c>
      <c r="V243" s="23">
        <v>38</v>
      </c>
      <c r="W243" s="28">
        <v>82</v>
      </c>
    </row>
    <row r="244" spans="1:23" x14ac:dyDescent="0.25">
      <c r="A244" s="20">
        <v>5</v>
      </c>
      <c r="B244" s="27">
        <v>44960</v>
      </c>
      <c r="C244" s="23">
        <v>208</v>
      </c>
      <c r="D244" s="23">
        <v>0</v>
      </c>
      <c r="E244" s="23">
        <v>0</v>
      </c>
      <c r="F244" s="23">
        <v>0</v>
      </c>
      <c r="G244" s="23">
        <v>0</v>
      </c>
      <c r="H244" s="23">
        <v>0</v>
      </c>
      <c r="I244" s="23">
        <v>0</v>
      </c>
      <c r="J244" s="23">
        <v>0</v>
      </c>
      <c r="K244" s="23">
        <v>0</v>
      </c>
      <c r="L244" s="23">
        <v>1</v>
      </c>
      <c r="M244" s="23">
        <v>1</v>
      </c>
      <c r="N244" s="23">
        <v>0</v>
      </c>
      <c r="O244" s="23">
        <v>1</v>
      </c>
      <c r="P244" s="23">
        <v>0</v>
      </c>
      <c r="Q244" s="23">
        <v>1</v>
      </c>
      <c r="R244" s="23">
        <v>8</v>
      </c>
      <c r="S244" s="23">
        <v>16</v>
      </c>
      <c r="T244" s="23">
        <v>28</v>
      </c>
      <c r="U244" s="23">
        <v>39</v>
      </c>
      <c r="V244" s="23">
        <v>40</v>
      </c>
      <c r="W244" s="28">
        <v>73</v>
      </c>
    </row>
    <row r="245" spans="1:23" x14ac:dyDescent="0.25">
      <c r="A245" s="20">
        <v>6</v>
      </c>
      <c r="B245" s="27">
        <v>44967</v>
      </c>
      <c r="C245" s="23">
        <v>201</v>
      </c>
      <c r="D245" s="23">
        <v>0</v>
      </c>
      <c r="E245" s="23">
        <v>0</v>
      </c>
      <c r="F245" s="23">
        <v>0</v>
      </c>
      <c r="G245" s="23">
        <v>0</v>
      </c>
      <c r="H245" s="23">
        <v>0</v>
      </c>
      <c r="I245" s="23">
        <v>0</v>
      </c>
      <c r="J245" s="23">
        <v>0</v>
      </c>
      <c r="K245" s="23">
        <v>0</v>
      </c>
      <c r="L245" s="23">
        <v>0</v>
      </c>
      <c r="M245" s="23">
        <v>1</v>
      </c>
      <c r="N245" s="23">
        <v>2</v>
      </c>
      <c r="O245" s="23">
        <v>1</v>
      </c>
      <c r="P245" s="23">
        <v>3</v>
      </c>
      <c r="Q245" s="23">
        <v>5</v>
      </c>
      <c r="R245" s="23">
        <v>5</v>
      </c>
      <c r="S245" s="23">
        <v>16</v>
      </c>
      <c r="T245" s="23">
        <v>24</v>
      </c>
      <c r="U245" s="23">
        <v>30</v>
      </c>
      <c r="V245" s="23">
        <v>51</v>
      </c>
      <c r="W245" s="28">
        <v>63</v>
      </c>
    </row>
    <row r="246" spans="1:23" x14ac:dyDescent="0.25">
      <c r="A246" s="20">
        <v>7</v>
      </c>
      <c r="B246" s="27">
        <v>44974</v>
      </c>
      <c r="C246" s="23">
        <v>206</v>
      </c>
      <c r="D246" s="23">
        <v>0</v>
      </c>
      <c r="E246" s="23">
        <v>0</v>
      </c>
      <c r="F246" s="23">
        <v>0</v>
      </c>
      <c r="G246" s="23">
        <v>0</v>
      </c>
      <c r="H246" s="23">
        <v>0</v>
      </c>
      <c r="I246" s="23">
        <v>0</v>
      </c>
      <c r="J246" s="23">
        <v>2</v>
      </c>
      <c r="K246" s="23">
        <v>0</v>
      </c>
      <c r="L246" s="23">
        <v>0</v>
      </c>
      <c r="M246" s="23">
        <v>0</v>
      </c>
      <c r="N246" s="23">
        <v>1</v>
      </c>
      <c r="O246" s="23">
        <v>4</v>
      </c>
      <c r="P246" s="23">
        <v>4</v>
      </c>
      <c r="Q246" s="23">
        <v>7</v>
      </c>
      <c r="R246" s="23">
        <v>11</v>
      </c>
      <c r="S246" s="23">
        <v>15</v>
      </c>
      <c r="T246" s="23">
        <v>21</v>
      </c>
      <c r="U246" s="23">
        <v>39</v>
      </c>
      <c r="V246" s="23">
        <v>41</v>
      </c>
      <c r="W246" s="28">
        <v>61</v>
      </c>
    </row>
    <row r="247" spans="1:23" x14ac:dyDescent="0.25">
      <c r="A247" s="20">
        <v>8</v>
      </c>
      <c r="B247" s="27">
        <v>44981</v>
      </c>
      <c r="C247" s="23">
        <v>235</v>
      </c>
      <c r="D247" s="23">
        <v>0</v>
      </c>
      <c r="E247" s="23">
        <v>0</v>
      </c>
      <c r="F247" s="23">
        <v>0</v>
      </c>
      <c r="G247" s="23">
        <v>0</v>
      </c>
      <c r="H247" s="23">
        <v>0</v>
      </c>
      <c r="I247" s="23">
        <v>0</v>
      </c>
      <c r="J247" s="23">
        <v>0</v>
      </c>
      <c r="K247" s="23">
        <v>0</v>
      </c>
      <c r="L247" s="23">
        <v>0</v>
      </c>
      <c r="M247" s="23">
        <v>1</v>
      </c>
      <c r="N247" s="23">
        <v>2</v>
      </c>
      <c r="O247" s="23">
        <v>3</v>
      </c>
      <c r="P247" s="23">
        <v>2</v>
      </c>
      <c r="Q247" s="23">
        <v>4</v>
      </c>
      <c r="R247" s="23">
        <v>12</v>
      </c>
      <c r="S247" s="23">
        <v>15</v>
      </c>
      <c r="T247" s="23">
        <v>29</v>
      </c>
      <c r="U247" s="23">
        <v>37</v>
      </c>
      <c r="V247" s="23">
        <v>60</v>
      </c>
      <c r="W247" s="28">
        <v>70</v>
      </c>
    </row>
    <row r="248" spans="1:23" x14ac:dyDescent="0.25">
      <c r="A248" s="20">
        <v>9</v>
      </c>
      <c r="B248" s="27">
        <v>44988</v>
      </c>
      <c r="C248" s="23">
        <v>248</v>
      </c>
      <c r="D248" s="23">
        <v>0</v>
      </c>
      <c r="E248" s="23">
        <v>0</v>
      </c>
      <c r="F248" s="23">
        <v>0</v>
      </c>
      <c r="G248" s="23">
        <v>0</v>
      </c>
      <c r="H248" s="23">
        <v>0</v>
      </c>
      <c r="I248" s="23">
        <v>0</v>
      </c>
      <c r="J248" s="23">
        <v>0</v>
      </c>
      <c r="K248" s="23">
        <v>0</v>
      </c>
      <c r="L248" s="23">
        <v>1</v>
      </c>
      <c r="M248" s="23">
        <v>0</v>
      </c>
      <c r="N248" s="23">
        <v>0</v>
      </c>
      <c r="O248" s="23">
        <v>0</v>
      </c>
      <c r="P248" s="23">
        <v>2</v>
      </c>
      <c r="Q248" s="23">
        <v>3</v>
      </c>
      <c r="R248" s="23">
        <v>11</v>
      </c>
      <c r="S248" s="23">
        <v>15</v>
      </c>
      <c r="T248" s="23">
        <v>35</v>
      </c>
      <c r="U248" s="23">
        <v>44</v>
      </c>
      <c r="V248" s="23">
        <v>58</v>
      </c>
      <c r="W248" s="28">
        <v>79</v>
      </c>
    </row>
    <row r="249" spans="1:23" x14ac:dyDescent="0.25">
      <c r="A249" s="20">
        <v>10</v>
      </c>
      <c r="B249" s="27">
        <v>44995</v>
      </c>
      <c r="C249" s="23">
        <v>283</v>
      </c>
      <c r="D249" s="23">
        <v>0</v>
      </c>
      <c r="E249" s="23">
        <v>0</v>
      </c>
      <c r="F249" s="23">
        <v>0</v>
      </c>
      <c r="G249" s="23">
        <v>1</v>
      </c>
      <c r="H249" s="23">
        <v>0</v>
      </c>
      <c r="I249" s="23">
        <v>0</v>
      </c>
      <c r="J249" s="23">
        <v>0</v>
      </c>
      <c r="K249" s="23">
        <v>0</v>
      </c>
      <c r="L249" s="23">
        <v>0</v>
      </c>
      <c r="M249" s="23">
        <v>0</v>
      </c>
      <c r="N249" s="23">
        <v>1</v>
      </c>
      <c r="O249" s="23">
        <v>2</v>
      </c>
      <c r="P249" s="23">
        <v>3</v>
      </c>
      <c r="Q249" s="23">
        <v>7</v>
      </c>
      <c r="R249" s="23">
        <v>11</v>
      </c>
      <c r="S249" s="23">
        <v>21</v>
      </c>
      <c r="T249" s="23">
        <v>38</v>
      </c>
      <c r="U249" s="23">
        <v>54</v>
      </c>
      <c r="V249" s="23">
        <v>64</v>
      </c>
      <c r="W249" s="28">
        <v>81</v>
      </c>
    </row>
    <row r="250" spans="1:23" x14ac:dyDescent="0.25">
      <c r="A250" s="20">
        <v>11</v>
      </c>
      <c r="B250" s="27">
        <v>45002</v>
      </c>
      <c r="C250" s="23">
        <v>332</v>
      </c>
      <c r="D250" s="23">
        <v>0</v>
      </c>
      <c r="E250" s="23">
        <v>0</v>
      </c>
      <c r="F250" s="23">
        <v>0</v>
      </c>
      <c r="G250" s="23">
        <v>1</v>
      </c>
      <c r="H250" s="23">
        <v>0</v>
      </c>
      <c r="I250" s="23">
        <v>0</v>
      </c>
      <c r="J250" s="23">
        <v>0</v>
      </c>
      <c r="K250" s="23">
        <v>0</v>
      </c>
      <c r="L250" s="23">
        <v>0</v>
      </c>
      <c r="M250" s="23">
        <v>1</v>
      </c>
      <c r="N250" s="23">
        <v>4</v>
      </c>
      <c r="O250" s="23">
        <v>3</v>
      </c>
      <c r="P250" s="23">
        <v>7</v>
      </c>
      <c r="Q250" s="23">
        <v>5</v>
      </c>
      <c r="R250" s="23">
        <v>16</v>
      </c>
      <c r="S250" s="23">
        <v>24</v>
      </c>
      <c r="T250" s="23">
        <v>37</v>
      </c>
      <c r="U250" s="23">
        <v>54</v>
      </c>
      <c r="V250" s="23">
        <v>74</v>
      </c>
      <c r="W250" s="28">
        <v>106</v>
      </c>
    </row>
    <row r="251" spans="1:23" x14ac:dyDescent="0.25">
      <c r="A251" s="20">
        <v>12</v>
      </c>
      <c r="B251" s="27">
        <v>45009</v>
      </c>
      <c r="C251" s="23">
        <v>317</v>
      </c>
      <c r="D251" s="23">
        <v>0</v>
      </c>
      <c r="E251" s="23">
        <v>0</v>
      </c>
      <c r="F251" s="23">
        <v>0</v>
      </c>
      <c r="G251" s="23">
        <v>0</v>
      </c>
      <c r="H251" s="23">
        <v>0</v>
      </c>
      <c r="I251" s="23">
        <v>0</v>
      </c>
      <c r="J251" s="23">
        <v>0</v>
      </c>
      <c r="K251" s="23">
        <v>0</v>
      </c>
      <c r="L251" s="23">
        <v>0</v>
      </c>
      <c r="M251" s="23">
        <v>0</v>
      </c>
      <c r="N251" s="23">
        <v>3</v>
      </c>
      <c r="O251" s="23">
        <v>3</v>
      </c>
      <c r="P251" s="23">
        <v>4</v>
      </c>
      <c r="Q251" s="23">
        <v>13</v>
      </c>
      <c r="R251" s="23">
        <v>10</v>
      </c>
      <c r="S251" s="23">
        <v>19</v>
      </c>
      <c r="T251" s="23">
        <v>39</v>
      </c>
      <c r="U251" s="23">
        <v>54</v>
      </c>
      <c r="V251" s="23">
        <v>79</v>
      </c>
      <c r="W251" s="28">
        <v>93</v>
      </c>
    </row>
    <row r="252" spans="1:23" x14ac:dyDescent="0.25">
      <c r="A252" s="20">
        <v>13</v>
      </c>
      <c r="B252" s="27">
        <v>45016</v>
      </c>
      <c r="C252" s="23">
        <v>287</v>
      </c>
      <c r="D252" s="23">
        <v>0</v>
      </c>
      <c r="E252" s="23">
        <v>0</v>
      </c>
      <c r="F252" s="23">
        <v>0</v>
      </c>
      <c r="G252" s="23">
        <v>0</v>
      </c>
      <c r="H252" s="23">
        <v>0</v>
      </c>
      <c r="I252" s="23">
        <v>0</v>
      </c>
      <c r="J252" s="23">
        <v>0</v>
      </c>
      <c r="K252" s="23">
        <v>0</v>
      </c>
      <c r="L252" s="23">
        <v>0</v>
      </c>
      <c r="M252" s="23">
        <v>1</v>
      </c>
      <c r="N252" s="23">
        <v>1</v>
      </c>
      <c r="O252" s="23">
        <v>2</v>
      </c>
      <c r="P252" s="23">
        <v>5</v>
      </c>
      <c r="Q252" s="23">
        <v>11</v>
      </c>
      <c r="R252" s="23">
        <v>8</v>
      </c>
      <c r="S252" s="23">
        <v>27</v>
      </c>
      <c r="T252" s="23">
        <v>25</v>
      </c>
      <c r="U252" s="23">
        <v>47</v>
      </c>
      <c r="V252" s="23">
        <v>61</v>
      </c>
      <c r="W252" s="28">
        <v>99</v>
      </c>
    </row>
    <row r="253" spans="1:23" x14ac:dyDescent="0.25">
      <c r="A253" s="20">
        <v>14</v>
      </c>
      <c r="B253" s="27">
        <v>45023</v>
      </c>
      <c r="C253" s="23">
        <v>233</v>
      </c>
      <c r="D253" s="23">
        <v>0</v>
      </c>
      <c r="E253" s="23">
        <v>0</v>
      </c>
      <c r="F253" s="23">
        <v>0</v>
      </c>
      <c r="G253" s="23">
        <v>0</v>
      </c>
      <c r="H253" s="23">
        <v>0</v>
      </c>
      <c r="I253" s="23">
        <v>1</v>
      </c>
      <c r="J253" s="23">
        <v>0</v>
      </c>
      <c r="K253" s="23">
        <v>0</v>
      </c>
      <c r="L253" s="23">
        <v>1</v>
      </c>
      <c r="M253" s="23">
        <v>1</v>
      </c>
      <c r="N253" s="23">
        <v>2</v>
      </c>
      <c r="O253" s="23">
        <v>0</v>
      </c>
      <c r="P253" s="23">
        <v>5</v>
      </c>
      <c r="Q253" s="23">
        <v>5</v>
      </c>
      <c r="R253" s="23">
        <v>6</v>
      </c>
      <c r="S253" s="23">
        <v>11</v>
      </c>
      <c r="T253" s="23">
        <v>40</v>
      </c>
      <c r="U253" s="23">
        <v>35</v>
      </c>
      <c r="V253" s="23">
        <v>49</v>
      </c>
      <c r="W253" s="28">
        <v>77</v>
      </c>
    </row>
    <row r="254" spans="1:23" x14ac:dyDescent="0.25">
      <c r="A254" s="20">
        <v>15</v>
      </c>
      <c r="B254" s="27">
        <v>45030</v>
      </c>
      <c r="C254" s="23">
        <v>222</v>
      </c>
      <c r="D254" s="23">
        <v>0</v>
      </c>
      <c r="E254" s="23">
        <v>0</v>
      </c>
      <c r="F254" s="23">
        <v>0</v>
      </c>
      <c r="G254" s="23">
        <v>0</v>
      </c>
      <c r="H254" s="23">
        <v>0</v>
      </c>
      <c r="I254" s="23">
        <v>0</v>
      </c>
      <c r="J254" s="23">
        <v>0</v>
      </c>
      <c r="K254" s="23">
        <v>0</v>
      </c>
      <c r="L254" s="23">
        <v>0</v>
      </c>
      <c r="M254" s="23">
        <v>1</v>
      </c>
      <c r="N254" s="23">
        <v>1</v>
      </c>
      <c r="O254" s="23">
        <v>2</v>
      </c>
      <c r="P254" s="23">
        <v>6</v>
      </c>
      <c r="Q254" s="23">
        <v>5</v>
      </c>
      <c r="R254" s="23">
        <v>18</v>
      </c>
      <c r="S254" s="23">
        <v>13</v>
      </c>
      <c r="T254" s="23">
        <v>26</v>
      </c>
      <c r="U254" s="23">
        <v>39</v>
      </c>
      <c r="V254" s="23">
        <v>40</v>
      </c>
      <c r="W254" s="28">
        <v>71</v>
      </c>
    </row>
    <row r="255" spans="1:23" x14ac:dyDescent="0.25">
      <c r="A255" s="20">
        <v>16</v>
      </c>
      <c r="B255" s="27">
        <v>45037</v>
      </c>
      <c r="C255" s="23">
        <v>205</v>
      </c>
      <c r="D255" s="23">
        <v>0</v>
      </c>
      <c r="E255" s="23">
        <v>0</v>
      </c>
      <c r="F255" s="23">
        <v>0</v>
      </c>
      <c r="G255" s="23">
        <v>0</v>
      </c>
      <c r="H255" s="23">
        <v>1</v>
      </c>
      <c r="I255" s="23">
        <v>0</v>
      </c>
      <c r="J255" s="23">
        <v>0</v>
      </c>
      <c r="K255" s="23">
        <v>0</v>
      </c>
      <c r="L255" s="23">
        <v>0</v>
      </c>
      <c r="M255" s="23">
        <v>1</v>
      </c>
      <c r="N255" s="23">
        <v>1</v>
      </c>
      <c r="O255" s="23">
        <v>4</v>
      </c>
      <c r="P255" s="23">
        <v>2</v>
      </c>
      <c r="Q255" s="23">
        <v>9</v>
      </c>
      <c r="R255" s="23">
        <v>8</v>
      </c>
      <c r="S255" s="23">
        <v>14</v>
      </c>
      <c r="T255" s="23">
        <v>21</v>
      </c>
      <c r="U255" s="23">
        <v>36</v>
      </c>
      <c r="V255" s="23">
        <v>44</v>
      </c>
      <c r="W255" s="28">
        <v>64</v>
      </c>
    </row>
    <row r="256" spans="1:23" x14ac:dyDescent="0.25">
      <c r="A256" s="20">
        <v>17</v>
      </c>
      <c r="B256" s="27">
        <v>45044</v>
      </c>
      <c r="C256" s="23">
        <v>152</v>
      </c>
      <c r="D256" s="23">
        <v>0</v>
      </c>
      <c r="E256" s="23">
        <v>0</v>
      </c>
      <c r="F256" s="23">
        <v>0</v>
      </c>
      <c r="G256" s="23">
        <v>0</v>
      </c>
      <c r="H256" s="23">
        <v>0</v>
      </c>
      <c r="I256" s="23">
        <v>0</v>
      </c>
      <c r="J256" s="23">
        <v>0</v>
      </c>
      <c r="K256" s="23">
        <v>1</v>
      </c>
      <c r="L256" s="23">
        <v>0</v>
      </c>
      <c r="M256" s="23">
        <v>1</v>
      </c>
      <c r="N256" s="23">
        <v>0</v>
      </c>
      <c r="O256" s="23">
        <v>0</v>
      </c>
      <c r="P256" s="23">
        <v>5</v>
      </c>
      <c r="Q256" s="23">
        <v>4</v>
      </c>
      <c r="R256" s="23">
        <v>4</v>
      </c>
      <c r="S256" s="23">
        <v>13</v>
      </c>
      <c r="T256" s="23">
        <v>27</v>
      </c>
      <c r="U256" s="23">
        <v>21</v>
      </c>
      <c r="V256" s="23">
        <v>37</v>
      </c>
      <c r="W256" s="28">
        <v>39</v>
      </c>
    </row>
    <row r="257" spans="1:23" x14ac:dyDescent="0.25">
      <c r="A257" s="20">
        <v>18</v>
      </c>
      <c r="B257" s="27">
        <v>45051</v>
      </c>
      <c r="C257" s="23">
        <v>136</v>
      </c>
      <c r="D257" s="23">
        <v>0</v>
      </c>
      <c r="E257" s="23">
        <v>0</v>
      </c>
      <c r="F257" s="23">
        <v>0</v>
      </c>
      <c r="G257" s="23">
        <v>0</v>
      </c>
      <c r="H257" s="23">
        <v>0</v>
      </c>
      <c r="I257" s="23">
        <v>0</v>
      </c>
      <c r="J257" s="23">
        <v>0</v>
      </c>
      <c r="K257" s="23">
        <v>0</v>
      </c>
      <c r="L257" s="23">
        <v>0</v>
      </c>
      <c r="M257" s="23">
        <v>1</v>
      </c>
      <c r="N257" s="23">
        <v>0</v>
      </c>
      <c r="O257" s="23">
        <v>0</v>
      </c>
      <c r="P257" s="23">
        <v>3</v>
      </c>
      <c r="Q257" s="23">
        <v>5</v>
      </c>
      <c r="R257" s="23">
        <v>2</v>
      </c>
      <c r="S257" s="23">
        <v>10</v>
      </c>
      <c r="T257" s="23">
        <v>19</v>
      </c>
      <c r="U257" s="23">
        <v>22</v>
      </c>
      <c r="V257" s="23">
        <v>30</v>
      </c>
      <c r="W257" s="28">
        <v>44</v>
      </c>
    </row>
    <row r="258" spans="1:23" x14ac:dyDescent="0.25">
      <c r="A258" s="20">
        <v>19</v>
      </c>
      <c r="B258" s="27">
        <v>45058</v>
      </c>
      <c r="C258" s="23">
        <v>135</v>
      </c>
      <c r="D258" s="23">
        <v>0</v>
      </c>
      <c r="E258" s="23">
        <v>0</v>
      </c>
      <c r="F258" s="23">
        <v>0</v>
      </c>
      <c r="G258" s="23">
        <v>0</v>
      </c>
      <c r="H258" s="23">
        <v>0</v>
      </c>
      <c r="I258" s="23">
        <v>0</v>
      </c>
      <c r="J258" s="23">
        <v>0</v>
      </c>
      <c r="K258" s="23">
        <v>0</v>
      </c>
      <c r="L258" s="23">
        <v>0</v>
      </c>
      <c r="M258" s="23">
        <v>0</v>
      </c>
      <c r="N258" s="23">
        <v>0</v>
      </c>
      <c r="O258" s="23">
        <v>1</v>
      </c>
      <c r="P258" s="23">
        <v>1</v>
      </c>
      <c r="Q258" s="23">
        <v>1</v>
      </c>
      <c r="R258" s="23">
        <v>5</v>
      </c>
      <c r="S258" s="23">
        <v>17</v>
      </c>
      <c r="T258" s="23">
        <v>14</v>
      </c>
      <c r="U258" s="23">
        <v>23</v>
      </c>
      <c r="V258" s="23">
        <v>34</v>
      </c>
      <c r="W258" s="28">
        <v>39</v>
      </c>
    </row>
    <row r="259" spans="1:23" x14ac:dyDescent="0.25">
      <c r="A259" s="20">
        <v>20</v>
      </c>
      <c r="B259" s="27">
        <v>45065</v>
      </c>
      <c r="C259" s="23">
        <v>98</v>
      </c>
      <c r="D259" s="23">
        <v>0</v>
      </c>
      <c r="E259" s="23">
        <v>0</v>
      </c>
      <c r="F259" s="23">
        <v>0</v>
      </c>
      <c r="G259" s="23">
        <v>0</v>
      </c>
      <c r="H259" s="23">
        <v>0</v>
      </c>
      <c r="I259" s="23">
        <v>0</v>
      </c>
      <c r="J259" s="23">
        <v>0</v>
      </c>
      <c r="K259" s="23">
        <v>0</v>
      </c>
      <c r="L259" s="23">
        <v>0</v>
      </c>
      <c r="M259" s="23">
        <v>0</v>
      </c>
      <c r="N259" s="23">
        <v>0</v>
      </c>
      <c r="O259" s="23">
        <v>0</v>
      </c>
      <c r="P259" s="23">
        <v>1</v>
      </c>
      <c r="Q259" s="23">
        <v>2</v>
      </c>
      <c r="R259" s="23">
        <v>3</v>
      </c>
      <c r="S259" s="23">
        <v>11</v>
      </c>
      <c r="T259" s="23">
        <v>15</v>
      </c>
      <c r="U259" s="23">
        <v>24</v>
      </c>
      <c r="V259" s="23">
        <v>18</v>
      </c>
      <c r="W259" s="28">
        <v>24</v>
      </c>
    </row>
    <row r="260" spans="1:23" x14ac:dyDescent="0.25">
      <c r="A260" s="20">
        <v>21</v>
      </c>
      <c r="B260" s="27">
        <v>45072</v>
      </c>
      <c r="C260" s="23">
        <v>96</v>
      </c>
      <c r="D260" s="23">
        <v>0</v>
      </c>
      <c r="E260" s="23">
        <v>0</v>
      </c>
      <c r="F260" s="23">
        <v>0</v>
      </c>
      <c r="G260" s="23">
        <v>0</v>
      </c>
      <c r="H260" s="23">
        <v>0</v>
      </c>
      <c r="I260" s="23">
        <v>0</v>
      </c>
      <c r="J260" s="23">
        <v>0</v>
      </c>
      <c r="K260" s="23">
        <v>0</v>
      </c>
      <c r="L260" s="23">
        <v>0</v>
      </c>
      <c r="M260" s="23">
        <v>0</v>
      </c>
      <c r="N260" s="23">
        <v>0</v>
      </c>
      <c r="O260" s="23">
        <v>1</v>
      </c>
      <c r="P260" s="23">
        <v>2</v>
      </c>
      <c r="Q260" s="23">
        <v>1</v>
      </c>
      <c r="R260" s="23">
        <v>5</v>
      </c>
      <c r="S260" s="23">
        <v>10</v>
      </c>
      <c r="T260" s="23">
        <v>10</v>
      </c>
      <c r="U260" s="23">
        <v>20</v>
      </c>
      <c r="V260" s="23">
        <v>14</v>
      </c>
      <c r="W260" s="28">
        <v>33</v>
      </c>
    </row>
    <row r="261" spans="1:23" x14ac:dyDescent="0.25">
      <c r="A261" s="20">
        <v>22</v>
      </c>
      <c r="B261" s="27">
        <v>45079</v>
      </c>
      <c r="C261" s="23">
        <v>73</v>
      </c>
      <c r="D261" s="23">
        <v>0</v>
      </c>
      <c r="E261" s="23">
        <v>0</v>
      </c>
      <c r="F261" s="23">
        <v>0</v>
      </c>
      <c r="G261" s="23">
        <v>0</v>
      </c>
      <c r="H261" s="23">
        <v>0</v>
      </c>
      <c r="I261" s="23">
        <v>0</v>
      </c>
      <c r="J261" s="23">
        <v>0</v>
      </c>
      <c r="K261" s="23">
        <v>0</v>
      </c>
      <c r="L261" s="23">
        <v>0</v>
      </c>
      <c r="M261" s="23">
        <v>0</v>
      </c>
      <c r="N261" s="23">
        <v>1</v>
      </c>
      <c r="O261" s="23">
        <v>0</v>
      </c>
      <c r="P261" s="23">
        <v>0</v>
      </c>
      <c r="Q261" s="23">
        <v>0</v>
      </c>
      <c r="R261" s="23">
        <v>3</v>
      </c>
      <c r="S261" s="23">
        <v>2</v>
      </c>
      <c r="T261" s="23">
        <v>11</v>
      </c>
      <c r="U261" s="23">
        <v>24</v>
      </c>
      <c r="V261" s="23">
        <v>16</v>
      </c>
      <c r="W261" s="28">
        <v>16</v>
      </c>
    </row>
    <row r="262" spans="1:23" x14ac:dyDescent="0.25">
      <c r="A262" s="20">
        <v>23</v>
      </c>
      <c r="B262" s="27">
        <v>45086</v>
      </c>
      <c r="C262" s="23">
        <v>69</v>
      </c>
      <c r="D262" s="23">
        <v>0</v>
      </c>
      <c r="E262" s="23">
        <v>0</v>
      </c>
      <c r="F262" s="23">
        <v>0</v>
      </c>
      <c r="G262" s="23">
        <v>0</v>
      </c>
      <c r="H262" s="23">
        <v>0</v>
      </c>
      <c r="I262" s="23">
        <v>0</v>
      </c>
      <c r="J262" s="23">
        <v>0</v>
      </c>
      <c r="K262" s="23">
        <v>0</v>
      </c>
      <c r="L262" s="23">
        <v>0</v>
      </c>
      <c r="M262" s="23">
        <v>0</v>
      </c>
      <c r="N262" s="23">
        <v>0</v>
      </c>
      <c r="O262" s="23">
        <v>3</v>
      </c>
      <c r="P262" s="23">
        <v>0</v>
      </c>
      <c r="Q262" s="23">
        <v>2</v>
      </c>
      <c r="R262" s="23">
        <v>4</v>
      </c>
      <c r="S262" s="23">
        <v>4</v>
      </c>
      <c r="T262" s="23">
        <v>5</v>
      </c>
      <c r="U262" s="23">
        <v>9</v>
      </c>
      <c r="V262" s="23">
        <v>15</v>
      </c>
      <c r="W262" s="28">
        <v>27</v>
      </c>
    </row>
    <row r="263" spans="1:23" x14ac:dyDescent="0.25">
      <c r="A263" s="20">
        <v>24</v>
      </c>
      <c r="B263" s="27">
        <v>45093</v>
      </c>
      <c r="C263" s="23">
        <v>68</v>
      </c>
      <c r="D263" s="23">
        <v>0</v>
      </c>
      <c r="E263" s="23">
        <v>0</v>
      </c>
      <c r="F263" s="23">
        <v>0</v>
      </c>
      <c r="G263" s="23">
        <v>0</v>
      </c>
      <c r="H263" s="23">
        <v>0</v>
      </c>
      <c r="I263" s="23">
        <v>1</v>
      </c>
      <c r="J263" s="23">
        <v>0</v>
      </c>
      <c r="K263" s="23">
        <v>0</v>
      </c>
      <c r="L263" s="23">
        <v>0</v>
      </c>
      <c r="M263" s="23">
        <v>0</v>
      </c>
      <c r="N263" s="23">
        <v>0</v>
      </c>
      <c r="O263" s="23">
        <v>0</v>
      </c>
      <c r="P263" s="23">
        <v>2</v>
      </c>
      <c r="Q263" s="23">
        <v>2</v>
      </c>
      <c r="R263" s="23">
        <v>5</v>
      </c>
      <c r="S263" s="23">
        <v>3</v>
      </c>
      <c r="T263" s="23">
        <v>13</v>
      </c>
      <c r="U263" s="23">
        <v>10</v>
      </c>
      <c r="V263" s="23">
        <v>9</v>
      </c>
      <c r="W263" s="28">
        <v>23</v>
      </c>
    </row>
    <row r="264" spans="1:23" x14ac:dyDescent="0.25">
      <c r="A264" s="20">
        <v>25</v>
      </c>
      <c r="B264" s="27">
        <v>45100</v>
      </c>
      <c r="C264" s="23">
        <v>46</v>
      </c>
      <c r="D264" s="23">
        <v>0</v>
      </c>
      <c r="E264" s="23">
        <v>0</v>
      </c>
      <c r="F264" s="23">
        <v>0</v>
      </c>
      <c r="G264" s="23">
        <v>0</v>
      </c>
      <c r="H264" s="23">
        <v>0</v>
      </c>
      <c r="I264" s="23">
        <v>0</v>
      </c>
      <c r="J264" s="23">
        <v>0</v>
      </c>
      <c r="K264" s="23">
        <v>0</v>
      </c>
      <c r="L264" s="23">
        <v>0</v>
      </c>
      <c r="M264" s="23">
        <v>0</v>
      </c>
      <c r="N264" s="23">
        <v>0</v>
      </c>
      <c r="O264" s="23">
        <v>0</v>
      </c>
      <c r="P264" s="23">
        <v>1</v>
      </c>
      <c r="Q264" s="23">
        <v>2</v>
      </c>
      <c r="R264" s="23">
        <v>1</v>
      </c>
      <c r="S264" s="23">
        <v>3</v>
      </c>
      <c r="T264" s="23">
        <v>6</v>
      </c>
      <c r="U264" s="23">
        <v>8</v>
      </c>
      <c r="V264" s="23">
        <v>11</v>
      </c>
      <c r="W264" s="28">
        <v>14</v>
      </c>
    </row>
    <row r="265" spans="1:23" x14ac:dyDescent="0.25">
      <c r="A265" s="20">
        <v>26</v>
      </c>
      <c r="B265" s="27">
        <v>45107</v>
      </c>
      <c r="C265" s="23">
        <v>44</v>
      </c>
      <c r="D265" s="23">
        <v>0</v>
      </c>
      <c r="E265" s="23">
        <v>0</v>
      </c>
      <c r="F265" s="23">
        <v>0</v>
      </c>
      <c r="G265" s="23">
        <v>0</v>
      </c>
      <c r="H265" s="23">
        <v>0</v>
      </c>
      <c r="I265" s="23">
        <v>0</v>
      </c>
      <c r="J265" s="23">
        <v>0</v>
      </c>
      <c r="K265" s="23">
        <v>0</v>
      </c>
      <c r="L265" s="23">
        <v>0</v>
      </c>
      <c r="M265" s="23">
        <v>0</v>
      </c>
      <c r="N265" s="23">
        <v>1</v>
      </c>
      <c r="O265" s="23">
        <v>0</v>
      </c>
      <c r="P265" s="23">
        <v>0</v>
      </c>
      <c r="Q265" s="23">
        <v>1</v>
      </c>
      <c r="R265" s="23">
        <v>5</v>
      </c>
      <c r="S265" s="23">
        <v>3</v>
      </c>
      <c r="T265" s="23">
        <v>5</v>
      </c>
      <c r="U265" s="23">
        <v>10</v>
      </c>
      <c r="V265" s="23">
        <v>9</v>
      </c>
      <c r="W265" s="28">
        <v>10</v>
      </c>
    </row>
    <row r="266" spans="1:23" x14ac:dyDescent="0.25">
      <c r="A266" s="20">
        <v>27</v>
      </c>
      <c r="B266" s="27">
        <v>45114</v>
      </c>
      <c r="C266" s="23">
        <v>28</v>
      </c>
      <c r="D266" s="23">
        <v>0</v>
      </c>
      <c r="E266" s="23">
        <v>0</v>
      </c>
      <c r="F266" s="23">
        <v>0</v>
      </c>
      <c r="G266" s="23">
        <v>0</v>
      </c>
      <c r="H266" s="23">
        <v>0</v>
      </c>
      <c r="I266" s="23">
        <v>0</v>
      </c>
      <c r="J266" s="23">
        <v>0</v>
      </c>
      <c r="K266" s="23">
        <v>0</v>
      </c>
      <c r="L266" s="23">
        <v>0</v>
      </c>
      <c r="M266" s="23">
        <v>0</v>
      </c>
      <c r="N266" s="23">
        <v>1</v>
      </c>
      <c r="O266" s="23">
        <v>0</v>
      </c>
      <c r="P266" s="23">
        <v>0</v>
      </c>
      <c r="Q266" s="23">
        <v>1</v>
      </c>
      <c r="R266" s="23">
        <v>0</v>
      </c>
      <c r="S266" s="23">
        <v>3</v>
      </c>
      <c r="T266" s="23">
        <v>8</v>
      </c>
      <c r="U266" s="23">
        <v>1</v>
      </c>
      <c r="V266" s="23">
        <v>11</v>
      </c>
      <c r="W266" s="28">
        <v>3</v>
      </c>
    </row>
    <row r="267" spans="1:23" x14ac:dyDescent="0.25">
      <c r="A267" s="20">
        <v>28</v>
      </c>
      <c r="B267" s="27">
        <v>45121</v>
      </c>
      <c r="C267" s="23">
        <v>22</v>
      </c>
      <c r="D267" s="23">
        <v>0</v>
      </c>
      <c r="E267" s="23">
        <v>0</v>
      </c>
      <c r="F267" s="23">
        <v>0</v>
      </c>
      <c r="G267" s="23">
        <v>0</v>
      </c>
      <c r="H267" s="23">
        <v>0</v>
      </c>
      <c r="I267" s="23">
        <v>0</v>
      </c>
      <c r="J267" s="23">
        <v>0</v>
      </c>
      <c r="K267" s="23">
        <v>0</v>
      </c>
      <c r="L267" s="23">
        <v>0</v>
      </c>
      <c r="M267" s="23">
        <v>1</v>
      </c>
      <c r="N267" s="23">
        <v>0</v>
      </c>
      <c r="O267" s="23">
        <v>0</v>
      </c>
      <c r="P267" s="23">
        <v>1</v>
      </c>
      <c r="Q267" s="23">
        <v>0</v>
      </c>
      <c r="R267" s="23">
        <v>2</v>
      </c>
      <c r="S267" s="23">
        <v>1</v>
      </c>
      <c r="T267" s="23">
        <v>2</v>
      </c>
      <c r="U267" s="23">
        <v>4</v>
      </c>
      <c r="V267" s="23">
        <v>6</v>
      </c>
      <c r="W267" s="28">
        <v>5</v>
      </c>
    </row>
    <row r="268" spans="1:23" x14ac:dyDescent="0.25">
      <c r="A268" s="20">
        <v>29</v>
      </c>
      <c r="B268" s="27">
        <v>45128</v>
      </c>
      <c r="C268" s="23">
        <v>25</v>
      </c>
      <c r="D268" s="23">
        <v>0</v>
      </c>
      <c r="E268" s="23">
        <v>0</v>
      </c>
      <c r="F268" s="23">
        <v>0</v>
      </c>
      <c r="G268" s="23">
        <v>0</v>
      </c>
      <c r="H268" s="23">
        <v>0</v>
      </c>
      <c r="I268" s="23">
        <v>0</v>
      </c>
      <c r="J268" s="23">
        <v>0</v>
      </c>
      <c r="K268" s="23">
        <v>0</v>
      </c>
      <c r="L268" s="23">
        <v>0</v>
      </c>
      <c r="M268" s="23">
        <v>0</v>
      </c>
      <c r="N268" s="23">
        <v>0</v>
      </c>
      <c r="O268" s="23">
        <v>3</v>
      </c>
      <c r="P268" s="23">
        <v>0</v>
      </c>
      <c r="Q268" s="23">
        <v>3</v>
      </c>
      <c r="R268" s="23">
        <v>2</v>
      </c>
      <c r="S268" s="23">
        <v>1</v>
      </c>
      <c r="T268" s="23">
        <v>2</v>
      </c>
      <c r="U268" s="23">
        <v>4</v>
      </c>
      <c r="V268" s="23">
        <v>3</v>
      </c>
      <c r="W268" s="28">
        <v>7</v>
      </c>
    </row>
    <row r="269" spans="1:23" x14ac:dyDescent="0.25">
      <c r="A269" s="20">
        <v>30</v>
      </c>
      <c r="B269" s="27">
        <v>45135</v>
      </c>
      <c r="C269" s="23">
        <v>29</v>
      </c>
      <c r="D269" s="23">
        <v>0</v>
      </c>
      <c r="E269" s="23">
        <v>0</v>
      </c>
      <c r="F269" s="23">
        <v>0</v>
      </c>
      <c r="G269" s="23">
        <v>0</v>
      </c>
      <c r="H269" s="23">
        <v>0</v>
      </c>
      <c r="I269" s="23">
        <v>0</v>
      </c>
      <c r="J269" s="23">
        <v>0</v>
      </c>
      <c r="K269" s="23">
        <v>0</v>
      </c>
      <c r="L269" s="23">
        <v>0</v>
      </c>
      <c r="M269" s="23">
        <v>0</v>
      </c>
      <c r="N269" s="23">
        <v>0</v>
      </c>
      <c r="O269" s="23">
        <v>0</v>
      </c>
      <c r="P269" s="23">
        <v>0</v>
      </c>
      <c r="Q269" s="23">
        <v>1</v>
      </c>
      <c r="R269" s="23">
        <v>2</v>
      </c>
      <c r="S269" s="23">
        <v>1</v>
      </c>
      <c r="T269" s="23">
        <v>6</v>
      </c>
      <c r="U269" s="23">
        <v>2</v>
      </c>
      <c r="V269" s="23">
        <v>10</v>
      </c>
      <c r="W269" s="28">
        <v>7</v>
      </c>
    </row>
    <row r="270" spans="1:23" x14ac:dyDescent="0.25">
      <c r="A270" s="20">
        <v>31</v>
      </c>
      <c r="B270" s="27">
        <v>45142</v>
      </c>
      <c r="C270" s="23">
        <v>35</v>
      </c>
      <c r="D270" s="23">
        <v>0</v>
      </c>
      <c r="E270" s="23">
        <v>0</v>
      </c>
      <c r="F270" s="23">
        <v>0</v>
      </c>
      <c r="G270" s="23">
        <v>0</v>
      </c>
      <c r="H270" s="23">
        <v>0</v>
      </c>
      <c r="I270" s="23">
        <v>0</v>
      </c>
      <c r="J270" s="23">
        <v>0</v>
      </c>
      <c r="K270" s="23">
        <v>0</v>
      </c>
      <c r="L270" s="23">
        <v>0</v>
      </c>
      <c r="M270" s="23">
        <v>0</v>
      </c>
      <c r="N270" s="23">
        <v>0</v>
      </c>
      <c r="O270" s="23">
        <v>1</v>
      </c>
      <c r="P270" s="23">
        <v>2</v>
      </c>
      <c r="Q270" s="23">
        <v>1</v>
      </c>
      <c r="R270" s="23">
        <v>1</v>
      </c>
      <c r="S270" s="23">
        <v>2</v>
      </c>
      <c r="T270" s="23">
        <v>6</v>
      </c>
      <c r="U270" s="23">
        <v>6</v>
      </c>
      <c r="V270" s="23">
        <v>6</v>
      </c>
      <c r="W270" s="28">
        <v>10</v>
      </c>
    </row>
    <row r="271" spans="1:23" x14ac:dyDescent="0.25">
      <c r="A271" s="20">
        <v>32</v>
      </c>
      <c r="B271" s="27">
        <v>45149</v>
      </c>
      <c r="C271" s="23">
        <v>31</v>
      </c>
      <c r="D271" s="23">
        <v>0</v>
      </c>
      <c r="E271" s="23">
        <v>0</v>
      </c>
      <c r="F271" s="23">
        <v>0</v>
      </c>
      <c r="G271" s="23">
        <v>0</v>
      </c>
      <c r="H271" s="23">
        <v>0</v>
      </c>
      <c r="I271" s="23">
        <v>0</v>
      </c>
      <c r="J271" s="23">
        <v>0</v>
      </c>
      <c r="K271" s="23">
        <v>0</v>
      </c>
      <c r="L271" s="23">
        <v>0</v>
      </c>
      <c r="M271" s="23">
        <v>0</v>
      </c>
      <c r="N271" s="23">
        <v>0</v>
      </c>
      <c r="O271" s="23">
        <v>1</v>
      </c>
      <c r="P271" s="23">
        <v>1</v>
      </c>
      <c r="Q271" s="23">
        <v>0</v>
      </c>
      <c r="R271" s="23">
        <v>0</v>
      </c>
      <c r="S271" s="23">
        <v>2</v>
      </c>
      <c r="T271" s="23">
        <v>3</v>
      </c>
      <c r="U271" s="23">
        <v>7</v>
      </c>
      <c r="V271" s="23">
        <v>3</v>
      </c>
      <c r="W271" s="28">
        <v>14</v>
      </c>
    </row>
    <row r="272" spans="1:23" x14ac:dyDescent="0.25">
      <c r="A272" s="20">
        <v>33</v>
      </c>
      <c r="B272" s="27">
        <v>45156</v>
      </c>
      <c r="C272" s="23">
        <v>63</v>
      </c>
      <c r="D272" s="23">
        <v>0</v>
      </c>
      <c r="E272" s="23">
        <v>0</v>
      </c>
      <c r="F272" s="23">
        <v>0</v>
      </c>
      <c r="G272" s="23">
        <v>0</v>
      </c>
      <c r="H272" s="23">
        <v>0</v>
      </c>
      <c r="I272" s="23">
        <v>0</v>
      </c>
      <c r="J272" s="23">
        <v>0</v>
      </c>
      <c r="K272" s="23">
        <v>0</v>
      </c>
      <c r="L272" s="23">
        <v>0</v>
      </c>
      <c r="M272" s="23">
        <v>0</v>
      </c>
      <c r="N272" s="23">
        <v>1</v>
      </c>
      <c r="O272" s="23">
        <v>0</v>
      </c>
      <c r="P272" s="23">
        <v>0</v>
      </c>
      <c r="Q272" s="23">
        <v>0</v>
      </c>
      <c r="R272" s="23">
        <v>1</v>
      </c>
      <c r="S272" s="23">
        <v>10</v>
      </c>
      <c r="T272" s="23">
        <v>9</v>
      </c>
      <c r="U272" s="23">
        <v>11</v>
      </c>
      <c r="V272" s="23">
        <v>11</v>
      </c>
      <c r="W272" s="28">
        <v>20</v>
      </c>
    </row>
    <row r="273" spans="1:23" x14ac:dyDescent="0.25">
      <c r="A273" s="20">
        <v>34</v>
      </c>
      <c r="B273" s="27">
        <v>45163</v>
      </c>
      <c r="C273" s="23">
        <v>66</v>
      </c>
      <c r="D273" s="23">
        <v>0</v>
      </c>
      <c r="E273" s="23">
        <v>0</v>
      </c>
      <c r="F273" s="23">
        <v>0</v>
      </c>
      <c r="G273" s="23">
        <v>0</v>
      </c>
      <c r="H273" s="23">
        <v>0</v>
      </c>
      <c r="I273" s="23">
        <v>0</v>
      </c>
      <c r="J273" s="23">
        <v>0</v>
      </c>
      <c r="K273" s="23">
        <v>0</v>
      </c>
      <c r="L273" s="23">
        <v>0</v>
      </c>
      <c r="M273" s="23">
        <v>0</v>
      </c>
      <c r="N273" s="23">
        <v>0</v>
      </c>
      <c r="O273" s="23">
        <v>0</v>
      </c>
      <c r="P273" s="23">
        <v>1</v>
      </c>
      <c r="Q273" s="23">
        <v>2</v>
      </c>
      <c r="R273" s="23">
        <v>3</v>
      </c>
      <c r="S273" s="23">
        <v>6</v>
      </c>
      <c r="T273" s="23">
        <v>9</v>
      </c>
      <c r="U273" s="23">
        <v>16</v>
      </c>
      <c r="V273" s="23">
        <v>9</v>
      </c>
      <c r="W273" s="28">
        <v>20</v>
      </c>
    </row>
    <row r="274" spans="1:23" x14ac:dyDescent="0.25">
      <c r="A274" s="20">
        <v>35</v>
      </c>
      <c r="B274" s="27">
        <v>45170</v>
      </c>
      <c r="C274" s="23">
        <v>44</v>
      </c>
      <c r="D274" s="23">
        <v>0</v>
      </c>
      <c r="E274" s="23">
        <v>0</v>
      </c>
      <c r="F274" s="23">
        <v>0</v>
      </c>
      <c r="G274" s="23">
        <v>0</v>
      </c>
      <c r="H274" s="23">
        <v>0</v>
      </c>
      <c r="I274" s="23">
        <v>0</v>
      </c>
      <c r="J274" s="23">
        <v>0</v>
      </c>
      <c r="K274" s="23">
        <v>0</v>
      </c>
      <c r="L274" s="23">
        <v>0</v>
      </c>
      <c r="M274" s="23">
        <v>0</v>
      </c>
      <c r="N274" s="23">
        <v>0</v>
      </c>
      <c r="O274" s="23">
        <v>0</v>
      </c>
      <c r="P274" s="23">
        <v>2</v>
      </c>
      <c r="Q274" s="23">
        <v>3</v>
      </c>
      <c r="R274" s="23">
        <v>2</v>
      </c>
      <c r="S274" s="23">
        <v>4</v>
      </c>
      <c r="T274" s="23">
        <v>7</v>
      </c>
      <c r="U274" s="23">
        <v>8</v>
      </c>
      <c r="V274" s="23">
        <v>10</v>
      </c>
      <c r="W274" s="28">
        <v>8</v>
      </c>
    </row>
    <row r="275" spans="1:23"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row>
  </sheetData>
  <sheetProtection sheet="1" formatCells="0" formatColumns="0"/>
  <pageMargins left="0.7" right="0.7" top="0.75" bottom="0.75" header="0.3" footer="0.3"/>
  <pageSetup paperSize="9" orientation="portrait" horizontalDpi="300" verticalDpi="300"/>
  <tableParts count="3">
    <tablePart r:id="rId1"/>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2"/>
  <sheetViews>
    <sheetView showGridLines="0" workbookViewId="0"/>
  </sheetViews>
  <sheetFormatPr defaultColWidth="10.90625" defaultRowHeight="15" x14ac:dyDescent="0.25"/>
  <cols>
    <col min="1" max="1" width="14.1796875" customWidth="1"/>
    <col min="2" max="23" width="13.1796875" customWidth="1"/>
  </cols>
  <sheetData>
    <row r="1" spans="1:8" ht="17.399999999999999" x14ac:dyDescent="0.3">
      <c r="A1" s="1" t="s">
        <v>173</v>
      </c>
    </row>
    <row r="2" spans="1:8" ht="17.399999999999999" x14ac:dyDescent="0.3">
      <c r="A2" s="1" t="s">
        <v>174</v>
      </c>
    </row>
    <row r="3" spans="1:8" x14ac:dyDescent="0.25">
      <c r="A3" t="s">
        <v>45</v>
      </c>
    </row>
    <row r="4" spans="1:8" x14ac:dyDescent="0.25">
      <c r="A4" t="s">
        <v>114</v>
      </c>
    </row>
    <row r="5" spans="1:8" x14ac:dyDescent="0.25">
      <c r="A5" t="s">
        <v>115</v>
      </c>
    </row>
    <row r="6" spans="1:8" ht="31.2" x14ac:dyDescent="0.25">
      <c r="A6" s="12" t="s">
        <v>116</v>
      </c>
      <c r="B6" s="11" t="s">
        <v>131</v>
      </c>
      <c r="C6" s="21" t="s">
        <v>175</v>
      </c>
      <c r="D6" s="21" t="s">
        <v>176</v>
      </c>
      <c r="E6" s="21" t="s">
        <v>177</v>
      </c>
      <c r="F6" s="21" t="s">
        <v>178</v>
      </c>
      <c r="G6" s="21" t="s">
        <v>179</v>
      </c>
      <c r="H6" s="24" t="s">
        <v>180</v>
      </c>
    </row>
    <row r="7" spans="1:8" x14ac:dyDescent="0.25">
      <c r="A7" s="19">
        <v>1</v>
      </c>
      <c r="B7" s="25">
        <v>44932</v>
      </c>
      <c r="C7" s="22">
        <v>842</v>
      </c>
      <c r="D7" s="22">
        <v>739</v>
      </c>
      <c r="E7" s="22">
        <v>679</v>
      </c>
      <c r="F7" s="22">
        <v>57</v>
      </c>
      <c r="G7" s="22">
        <v>84</v>
      </c>
      <c r="H7" s="26">
        <v>19</v>
      </c>
    </row>
    <row r="8" spans="1:8" x14ac:dyDescent="0.25">
      <c r="A8" s="20">
        <v>2</v>
      </c>
      <c r="B8" s="27">
        <v>44939</v>
      </c>
      <c r="C8" s="23">
        <v>1060</v>
      </c>
      <c r="D8" s="23">
        <v>922</v>
      </c>
      <c r="E8" s="23">
        <v>849</v>
      </c>
      <c r="F8" s="23">
        <v>70</v>
      </c>
      <c r="G8" s="23">
        <v>102</v>
      </c>
      <c r="H8" s="28">
        <v>36</v>
      </c>
    </row>
    <row r="9" spans="1:8" x14ac:dyDescent="0.25">
      <c r="A9" s="20">
        <v>3</v>
      </c>
      <c r="B9" s="27">
        <v>44946</v>
      </c>
      <c r="C9" s="23">
        <v>883</v>
      </c>
      <c r="D9" s="23">
        <v>781</v>
      </c>
      <c r="E9" s="23">
        <v>711</v>
      </c>
      <c r="F9" s="23">
        <v>69</v>
      </c>
      <c r="G9" s="23">
        <v>85</v>
      </c>
      <c r="H9" s="28">
        <v>17</v>
      </c>
    </row>
    <row r="10" spans="1:8" x14ac:dyDescent="0.25">
      <c r="A10" s="20">
        <v>4</v>
      </c>
      <c r="B10" s="27">
        <v>44953</v>
      </c>
      <c r="C10" s="23">
        <v>661</v>
      </c>
      <c r="D10" s="23">
        <v>579</v>
      </c>
      <c r="E10" s="23">
        <v>545</v>
      </c>
      <c r="F10" s="23">
        <v>33</v>
      </c>
      <c r="G10" s="23">
        <v>56</v>
      </c>
      <c r="H10" s="28">
        <v>26</v>
      </c>
    </row>
    <row r="11" spans="1:8" x14ac:dyDescent="0.25">
      <c r="A11" s="20">
        <v>5</v>
      </c>
      <c r="B11" s="27">
        <v>44960</v>
      </c>
      <c r="C11" s="23">
        <v>543</v>
      </c>
      <c r="D11" s="23">
        <v>499</v>
      </c>
      <c r="E11" s="23">
        <v>469</v>
      </c>
      <c r="F11" s="23">
        <v>29</v>
      </c>
      <c r="G11" s="23">
        <v>33</v>
      </c>
      <c r="H11" s="28">
        <v>11</v>
      </c>
    </row>
    <row r="12" spans="1:8" x14ac:dyDescent="0.25">
      <c r="A12" s="20">
        <v>6</v>
      </c>
      <c r="B12" s="27">
        <v>44967</v>
      </c>
      <c r="C12" s="23">
        <v>496</v>
      </c>
      <c r="D12" s="23">
        <v>446</v>
      </c>
      <c r="E12" s="23">
        <v>432</v>
      </c>
      <c r="F12" s="23">
        <v>14</v>
      </c>
      <c r="G12" s="23">
        <v>36</v>
      </c>
      <c r="H12" s="28">
        <v>14</v>
      </c>
    </row>
    <row r="13" spans="1:8" x14ac:dyDescent="0.25">
      <c r="A13" s="20">
        <v>7</v>
      </c>
      <c r="B13" s="27">
        <v>44974</v>
      </c>
      <c r="C13" s="23">
        <v>476</v>
      </c>
      <c r="D13" s="23">
        <v>416</v>
      </c>
      <c r="E13" s="23">
        <v>401</v>
      </c>
      <c r="F13" s="23">
        <v>13</v>
      </c>
      <c r="G13" s="23">
        <v>48</v>
      </c>
      <c r="H13" s="28">
        <v>12</v>
      </c>
    </row>
    <row r="14" spans="1:8" x14ac:dyDescent="0.25">
      <c r="A14" s="20">
        <v>8</v>
      </c>
      <c r="B14" s="27">
        <v>44981</v>
      </c>
      <c r="C14" s="23">
        <v>476</v>
      </c>
      <c r="D14" s="23">
        <v>420</v>
      </c>
      <c r="E14" s="23">
        <v>399</v>
      </c>
      <c r="F14" s="23">
        <v>20</v>
      </c>
      <c r="G14" s="23">
        <v>47</v>
      </c>
      <c r="H14" s="28">
        <v>9</v>
      </c>
    </row>
    <row r="15" spans="1:8" x14ac:dyDescent="0.25">
      <c r="A15" s="20">
        <v>9</v>
      </c>
      <c r="B15" s="27">
        <v>44988</v>
      </c>
      <c r="C15" s="23">
        <v>565</v>
      </c>
      <c r="D15" s="23">
        <v>513</v>
      </c>
      <c r="E15" s="23">
        <v>499</v>
      </c>
      <c r="F15" s="23">
        <v>14</v>
      </c>
      <c r="G15" s="23">
        <v>41</v>
      </c>
      <c r="H15" s="28">
        <v>11</v>
      </c>
    </row>
    <row r="16" spans="1:8" x14ac:dyDescent="0.25">
      <c r="A16" s="20">
        <v>10</v>
      </c>
      <c r="B16" s="27">
        <v>44995</v>
      </c>
      <c r="C16" s="23">
        <v>605</v>
      </c>
      <c r="D16" s="23">
        <v>533</v>
      </c>
      <c r="E16" s="23">
        <v>521</v>
      </c>
      <c r="F16" s="23">
        <v>11</v>
      </c>
      <c r="G16" s="23">
        <v>64</v>
      </c>
      <c r="H16" s="28">
        <v>8</v>
      </c>
    </row>
    <row r="17" spans="1:8" x14ac:dyDescent="0.25">
      <c r="A17" s="20">
        <v>11</v>
      </c>
      <c r="B17" s="27">
        <v>45002</v>
      </c>
      <c r="C17" s="23">
        <v>619</v>
      </c>
      <c r="D17" s="23">
        <v>559</v>
      </c>
      <c r="E17" s="23">
        <v>512</v>
      </c>
      <c r="F17" s="23">
        <v>47</v>
      </c>
      <c r="G17" s="23">
        <v>56</v>
      </c>
      <c r="H17" s="28">
        <v>4</v>
      </c>
    </row>
    <row r="18" spans="1:8" x14ac:dyDescent="0.25">
      <c r="A18" s="20">
        <v>12</v>
      </c>
      <c r="B18" s="27">
        <v>45009</v>
      </c>
      <c r="C18" s="23">
        <v>701</v>
      </c>
      <c r="D18" s="23">
        <v>624</v>
      </c>
      <c r="E18" s="23">
        <v>584</v>
      </c>
      <c r="F18" s="23">
        <v>40</v>
      </c>
      <c r="G18" s="23">
        <v>73</v>
      </c>
      <c r="H18" s="28">
        <v>4</v>
      </c>
    </row>
    <row r="19" spans="1:8" x14ac:dyDescent="0.25">
      <c r="A19" s="20">
        <v>13</v>
      </c>
      <c r="B19" s="27">
        <v>45016</v>
      </c>
      <c r="C19" s="23">
        <v>730</v>
      </c>
      <c r="D19" s="23">
        <v>634</v>
      </c>
      <c r="E19" s="23">
        <v>599</v>
      </c>
      <c r="F19" s="23">
        <v>35</v>
      </c>
      <c r="G19" s="23">
        <v>81</v>
      </c>
      <c r="H19" s="28">
        <v>15</v>
      </c>
    </row>
    <row r="20" spans="1:8" x14ac:dyDescent="0.25">
      <c r="A20" s="20">
        <v>14</v>
      </c>
      <c r="B20" s="27">
        <v>45023</v>
      </c>
      <c r="C20" s="23">
        <v>595</v>
      </c>
      <c r="D20" s="23">
        <v>513</v>
      </c>
      <c r="E20" s="23">
        <v>484</v>
      </c>
      <c r="F20" s="23">
        <v>28</v>
      </c>
      <c r="G20" s="23">
        <v>70</v>
      </c>
      <c r="H20" s="28">
        <v>12</v>
      </c>
    </row>
    <row r="21" spans="1:8" x14ac:dyDescent="0.25">
      <c r="A21" s="20">
        <v>15</v>
      </c>
      <c r="B21" s="27">
        <v>45030</v>
      </c>
      <c r="C21" s="23">
        <v>547</v>
      </c>
      <c r="D21" s="23">
        <v>465</v>
      </c>
      <c r="E21" s="23">
        <v>439</v>
      </c>
      <c r="F21" s="23">
        <v>23</v>
      </c>
      <c r="G21" s="23">
        <v>73</v>
      </c>
      <c r="H21" s="28">
        <v>9</v>
      </c>
    </row>
    <row r="22" spans="1:8" x14ac:dyDescent="0.25">
      <c r="A22" s="20">
        <v>16</v>
      </c>
      <c r="B22" s="27">
        <v>45037</v>
      </c>
      <c r="C22" s="23">
        <v>615</v>
      </c>
      <c r="D22" s="23">
        <v>538</v>
      </c>
      <c r="E22" s="23">
        <v>508</v>
      </c>
      <c r="F22" s="23">
        <v>30</v>
      </c>
      <c r="G22" s="23">
        <v>69</v>
      </c>
      <c r="H22" s="28">
        <v>8</v>
      </c>
    </row>
    <row r="23" spans="1:8" x14ac:dyDescent="0.25">
      <c r="A23" s="20">
        <v>17</v>
      </c>
      <c r="B23" s="27">
        <v>45044</v>
      </c>
      <c r="C23" s="23">
        <v>532</v>
      </c>
      <c r="D23" s="23">
        <v>459</v>
      </c>
      <c r="E23" s="23">
        <v>436</v>
      </c>
      <c r="F23" s="23">
        <v>23</v>
      </c>
      <c r="G23" s="23">
        <v>59</v>
      </c>
      <c r="H23" s="28">
        <v>14</v>
      </c>
    </row>
    <row r="24" spans="1:8" x14ac:dyDescent="0.25">
      <c r="A24" s="20">
        <v>18</v>
      </c>
      <c r="B24" s="27">
        <v>45051</v>
      </c>
      <c r="C24" s="23">
        <v>367</v>
      </c>
      <c r="D24" s="23">
        <v>310</v>
      </c>
      <c r="E24" s="23">
        <v>286</v>
      </c>
      <c r="F24" s="23">
        <v>24</v>
      </c>
      <c r="G24" s="23">
        <v>45</v>
      </c>
      <c r="H24" s="28">
        <v>12</v>
      </c>
    </row>
    <row r="25" spans="1:8" x14ac:dyDescent="0.25">
      <c r="A25" s="20">
        <v>19</v>
      </c>
      <c r="B25" s="27">
        <v>45058</v>
      </c>
      <c r="C25" s="23">
        <v>353</v>
      </c>
      <c r="D25" s="23">
        <v>309</v>
      </c>
      <c r="E25" s="23">
        <v>283</v>
      </c>
      <c r="F25" s="23">
        <v>26</v>
      </c>
      <c r="G25" s="23">
        <v>30</v>
      </c>
      <c r="H25" s="28">
        <v>14</v>
      </c>
    </row>
    <row r="26" spans="1:8" x14ac:dyDescent="0.25">
      <c r="A26" s="20">
        <v>20</v>
      </c>
      <c r="B26" s="27">
        <v>45065</v>
      </c>
      <c r="C26" s="23">
        <v>358</v>
      </c>
      <c r="D26" s="23">
        <v>322</v>
      </c>
      <c r="E26" s="23">
        <v>304</v>
      </c>
      <c r="F26" s="23">
        <v>17</v>
      </c>
      <c r="G26" s="23">
        <v>25</v>
      </c>
      <c r="H26" s="28">
        <v>11</v>
      </c>
    </row>
    <row r="27" spans="1:8" x14ac:dyDescent="0.25">
      <c r="A27" s="20">
        <v>21</v>
      </c>
      <c r="B27" s="27">
        <v>45072</v>
      </c>
      <c r="C27" s="23">
        <v>282</v>
      </c>
      <c r="D27" s="23">
        <v>262</v>
      </c>
      <c r="E27" s="23">
        <v>251</v>
      </c>
      <c r="F27" s="23">
        <v>11</v>
      </c>
      <c r="G27" s="23">
        <v>13</v>
      </c>
      <c r="H27" s="28">
        <v>7</v>
      </c>
    </row>
    <row r="28" spans="1:8" x14ac:dyDescent="0.25">
      <c r="A28" s="20">
        <v>22</v>
      </c>
      <c r="B28" s="27">
        <v>45079</v>
      </c>
      <c r="C28" s="23">
        <v>209</v>
      </c>
      <c r="D28" s="23">
        <v>189</v>
      </c>
      <c r="E28" s="23">
        <v>175</v>
      </c>
      <c r="F28" s="23">
        <v>12</v>
      </c>
      <c r="G28" s="23">
        <v>16</v>
      </c>
      <c r="H28" s="28">
        <v>4</v>
      </c>
    </row>
    <row r="29" spans="1:8" x14ac:dyDescent="0.25">
      <c r="A29" s="20">
        <v>23</v>
      </c>
      <c r="B29" s="27">
        <v>45086</v>
      </c>
      <c r="C29" s="23">
        <v>230</v>
      </c>
      <c r="D29" s="23">
        <v>211</v>
      </c>
      <c r="E29" s="23">
        <v>195</v>
      </c>
      <c r="F29" s="23">
        <v>16</v>
      </c>
      <c r="G29" s="23">
        <v>15</v>
      </c>
      <c r="H29" s="28">
        <v>4</v>
      </c>
    </row>
    <row r="30" spans="1:8" x14ac:dyDescent="0.25">
      <c r="A30" s="20">
        <v>24</v>
      </c>
      <c r="B30" s="27">
        <v>45093</v>
      </c>
      <c r="C30" s="23">
        <v>173</v>
      </c>
      <c r="D30" s="23">
        <v>156</v>
      </c>
      <c r="E30" s="23">
        <v>148</v>
      </c>
      <c r="F30" s="23">
        <v>7</v>
      </c>
      <c r="G30" s="23">
        <v>14</v>
      </c>
      <c r="H30" s="28">
        <v>3</v>
      </c>
    </row>
    <row r="31" spans="1:8" x14ac:dyDescent="0.25">
      <c r="A31" s="20">
        <v>25</v>
      </c>
      <c r="B31" s="27">
        <v>45100</v>
      </c>
      <c r="C31" s="23">
        <v>174</v>
      </c>
      <c r="D31" s="23">
        <v>154</v>
      </c>
      <c r="E31" s="23">
        <v>141</v>
      </c>
      <c r="F31" s="23">
        <v>13</v>
      </c>
      <c r="G31" s="23">
        <v>13</v>
      </c>
      <c r="H31" s="28">
        <v>7</v>
      </c>
    </row>
    <row r="32" spans="1:8" x14ac:dyDescent="0.25">
      <c r="A32" s="20">
        <v>26</v>
      </c>
      <c r="B32" s="27">
        <v>45107</v>
      </c>
      <c r="C32" s="23">
        <v>142</v>
      </c>
      <c r="D32" s="23">
        <v>129</v>
      </c>
      <c r="E32" s="23">
        <v>122</v>
      </c>
      <c r="F32" s="23">
        <v>7</v>
      </c>
      <c r="G32" s="23">
        <v>10</v>
      </c>
      <c r="H32" s="28">
        <v>3</v>
      </c>
    </row>
    <row r="33" spans="1:8" x14ac:dyDescent="0.25">
      <c r="A33" s="20">
        <v>27</v>
      </c>
      <c r="B33" s="27">
        <v>45114</v>
      </c>
      <c r="C33" s="23">
        <v>109</v>
      </c>
      <c r="D33" s="23">
        <v>95</v>
      </c>
      <c r="E33" s="23">
        <v>91</v>
      </c>
      <c r="F33" s="23">
        <v>4</v>
      </c>
      <c r="G33" s="23">
        <v>8</v>
      </c>
      <c r="H33" s="28">
        <v>6</v>
      </c>
    </row>
    <row r="34" spans="1:8" x14ac:dyDescent="0.25">
      <c r="A34" s="20">
        <v>28</v>
      </c>
      <c r="B34" s="27">
        <v>45121</v>
      </c>
      <c r="C34" s="23">
        <v>81</v>
      </c>
      <c r="D34" s="23">
        <v>77</v>
      </c>
      <c r="E34" s="23">
        <v>73</v>
      </c>
      <c r="F34" s="23">
        <v>4</v>
      </c>
      <c r="G34" s="23">
        <v>4</v>
      </c>
      <c r="H34" s="28">
        <v>0</v>
      </c>
    </row>
    <row r="35" spans="1:8" x14ac:dyDescent="0.25">
      <c r="A35" s="20">
        <v>29</v>
      </c>
      <c r="B35" s="27">
        <v>45128</v>
      </c>
      <c r="C35" s="23">
        <v>83</v>
      </c>
      <c r="D35" s="23">
        <v>70</v>
      </c>
      <c r="E35" s="23">
        <v>61</v>
      </c>
      <c r="F35" s="23">
        <v>9</v>
      </c>
      <c r="G35" s="23">
        <v>10</v>
      </c>
      <c r="H35" s="28">
        <v>3</v>
      </c>
    </row>
    <row r="36" spans="1:8" x14ac:dyDescent="0.25">
      <c r="A36" s="20">
        <v>30</v>
      </c>
      <c r="B36" s="27">
        <v>45135</v>
      </c>
      <c r="C36" s="23">
        <v>71</v>
      </c>
      <c r="D36" s="23">
        <v>63</v>
      </c>
      <c r="E36" s="23">
        <v>55</v>
      </c>
      <c r="F36" s="23">
        <v>8</v>
      </c>
      <c r="G36" s="23">
        <v>5</v>
      </c>
      <c r="H36" s="28">
        <v>3</v>
      </c>
    </row>
    <row r="37" spans="1:8" x14ac:dyDescent="0.25">
      <c r="A37" s="20">
        <v>31</v>
      </c>
      <c r="B37" s="27">
        <v>45142</v>
      </c>
      <c r="C37" s="23">
        <v>80</v>
      </c>
      <c r="D37" s="23">
        <v>68</v>
      </c>
      <c r="E37" s="23">
        <v>65</v>
      </c>
      <c r="F37" s="23">
        <v>3</v>
      </c>
      <c r="G37" s="23">
        <v>8</v>
      </c>
      <c r="H37" s="28">
        <v>4</v>
      </c>
    </row>
    <row r="38" spans="1:8" x14ac:dyDescent="0.25">
      <c r="A38" s="20">
        <v>32</v>
      </c>
      <c r="B38" s="27">
        <v>45149</v>
      </c>
      <c r="C38" s="23">
        <v>133</v>
      </c>
      <c r="D38" s="23">
        <v>108</v>
      </c>
      <c r="E38" s="23">
        <v>101</v>
      </c>
      <c r="F38" s="23">
        <v>7</v>
      </c>
      <c r="G38" s="23">
        <v>17</v>
      </c>
      <c r="H38" s="28">
        <v>8</v>
      </c>
    </row>
    <row r="39" spans="1:8" x14ac:dyDescent="0.25">
      <c r="A39" s="20">
        <v>33</v>
      </c>
      <c r="B39" s="27">
        <v>45156</v>
      </c>
      <c r="C39" s="23">
        <v>153</v>
      </c>
      <c r="D39" s="23">
        <v>125</v>
      </c>
      <c r="E39" s="23">
        <v>115</v>
      </c>
      <c r="F39" s="23">
        <v>10</v>
      </c>
      <c r="G39" s="23">
        <v>24</v>
      </c>
      <c r="H39" s="28">
        <v>4</v>
      </c>
    </row>
    <row r="40" spans="1:8" x14ac:dyDescent="0.25">
      <c r="A40" s="20">
        <v>34</v>
      </c>
      <c r="B40" s="27">
        <v>45163</v>
      </c>
      <c r="C40" s="23">
        <v>240</v>
      </c>
      <c r="D40" s="23">
        <v>203</v>
      </c>
      <c r="E40" s="23">
        <v>178</v>
      </c>
      <c r="F40" s="23">
        <v>25</v>
      </c>
      <c r="G40" s="23">
        <v>24</v>
      </c>
      <c r="H40" s="28">
        <v>13</v>
      </c>
    </row>
    <row r="41" spans="1:8" x14ac:dyDescent="0.25">
      <c r="A41" s="20">
        <v>35</v>
      </c>
      <c r="B41" s="27">
        <v>45170</v>
      </c>
      <c r="C41" s="23">
        <v>180</v>
      </c>
      <c r="D41" s="23">
        <v>155</v>
      </c>
      <c r="E41" s="23">
        <v>136</v>
      </c>
      <c r="F41" s="23">
        <v>18</v>
      </c>
      <c r="G41" s="23">
        <v>20</v>
      </c>
      <c r="H41" s="28">
        <v>5</v>
      </c>
    </row>
    <row r="42" spans="1:8" x14ac:dyDescent="0.25">
      <c r="A42" s="19"/>
      <c r="B42" s="18"/>
      <c r="C42" s="10"/>
      <c r="D42" s="10"/>
      <c r="E42" s="10"/>
      <c r="F42" s="10"/>
      <c r="G42" s="10"/>
      <c r="H42" s="10"/>
    </row>
  </sheetData>
  <sheetProtection sheet="1" formatCells="0" formatColumns="0"/>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19"/>
  <sheetViews>
    <sheetView showGridLines="0" workbookViewId="0"/>
  </sheetViews>
  <sheetFormatPr defaultColWidth="10.90625" defaultRowHeight="15" x14ac:dyDescent="0.25"/>
  <cols>
    <col min="1" max="1" width="14.1796875" customWidth="1"/>
    <col min="2" max="23" width="13.1796875" customWidth="1"/>
  </cols>
  <sheetData>
    <row r="1" spans="1:9" ht="17.399999999999999" x14ac:dyDescent="0.3">
      <c r="A1" s="1" t="s">
        <v>181</v>
      </c>
    </row>
    <row r="2" spans="1:9" ht="17.399999999999999" x14ac:dyDescent="0.3">
      <c r="A2" s="1" t="s">
        <v>182</v>
      </c>
    </row>
    <row r="3" spans="1:9" x14ac:dyDescent="0.25">
      <c r="A3" t="s">
        <v>129</v>
      </c>
    </row>
    <row r="4" spans="1:9" x14ac:dyDescent="0.25">
      <c r="A4" t="s">
        <v>114</v>
      </c>
    </row>
    <row r="5" spans="1:9" x14ac:dyDescent="0.25">
      <c r="A5" t="s">
        <v>115</v>
      </c>
    </row>
    <row r="6" spans="1:9" ht="15.6" x14ac:dyDescent="0.3">
      <c r="A6" s="3" t="s">
        <v>183</v>
      </c>
    </row>
    <row r="7" spans="1:9" ht="15.6" x14ac:dyDescent="0.25">
      <c r="A7" s="12" t="s">
        <v>116</v>
      </c>
      <c r="B7" s="29" t="s">
        <v>131</v>
      </c>
      <c r="C7" s="21" t="s">
        <v>133</v>
      </c>
      <c r="D7" s="21" t="s">
        <v>184</v>
      </c>
      <c r="E7" s="21" t="s">
        <v>185</v>
      </c>
      <c r="F7" s="21" t="s">
        <v>186</v>
      </c>
      <c r="G7" s="21" t="s">
        <v>187</v>
      </c>
      <c r="H7" s="21" t="s">
        <v>188</v>
      </c>
      <c r="I7" s="24" t="s">
        <v>189</v>
      </c>
    </row>
    <row r="8" spans="1:9" x14ac:dyDescent="0.25">
      <c r="A8" s="19">
        <v>1</v>
      </c>
      <c r="B8" s="25">
        <v>44932</v>
      </c>
      <c r="C8" s="22">
        <v>0</v>
      </c>
      <c r="D8" s="22">
        <v>0</v>
      </c>
      <c r="E8" s="22">
        <v>7</v>
      </c>
      <c r="F8" s="22">
        <v>59</v>
      </c>
      <c r="G8" s="22">
        <v>106</v>
      </c>
      <c r="H8" s="22">
        <v>272</v>
      </c>
      <c r="I8" s="26">
        <v>398</v>
      </c>
    </row>
    <row r="9" spans="1:9" x14ac:dyDescent="0.25">
      <c r="A9" s="20">
        <v>2</v>
      </c>
      <c r="B9" s="27">
        <v>44939</v>
      </c>
      <c r="C9" s="23">
        <v>0</v>
      </c>
      <c r="D9" s="23">
        <v>1</v>
      </c>
      <c r="E9" s="23">
        <v>9</v>
      </c>
      <c r="F9" s="23">
        <v>69</v>
      </c>
      <c r="G9" s="23">
        <v>138</v>
      </c>
      <c r="H9" s="23">
        <v>286</v>
      </c>
      <c r="I9" s="28">
        <v>557</v>
      </c>
    </row>
    <row r="10" spans="1:9" x14ac:dyDescent="0.25">
      <c r="A10" s="20">
        <v>3</v>
      </c>
      <c r="B10" s="27">
        <v>44946</v>
      </c>
      <c r="C10" s="23">
        <v>0</v>
      </c>
      <c r="D10" s="23">
        <v>0</v>
      </c>
      <c r="E10" s="23">
        <v>10</v>
      </c>
      <c r="F10" s="23">
        <v>59</v>
      </c>
      <c r="G10" s="23">
        <v>86</v>
      </c>
      <c r="H10" s="23">
        <v>283</v>
      </c>
      <c r="I10" s="28">
        <v>445</v>
      </c>
    </row>
    <row r="11" spans="1:9" x14ac:dyDescent="0.25">
      <c r="A11" s="20">
        <v>4</v>
      </c>
      <c r="B11" s="27">
        <v>44953</v>
      </c>
      <c r="C11" s="23">
        <v>0</v>
      </c>
      <c r="D11" s="23">
        <v>1</v>
      </c>
      <c r="E11" s="23">
        <v>5</v>
      </c>
      <c r="F11" s="23">
        <v>33</v>
      </c>
      <c r="G11" s="23">
        <v>74</v>
      </c>
      <c r="H11" s="23">
        <v>208</v>
      </c>
      <c r="I11" s="28">
        <v>340</v>
      </c>
    </row>
    <row r="12" spans="1:9" x14ac:dyDescent="0.25">
      <c r="A12" s="20">
        <v>5</v>
      </c>
      <c r="B12" s="27">
        <v>44960</v>
      </c>
      <c r="C12" s="23">
        <v>0</v>
      </c>
      <c r="D12" s="23">
        <v>1</v>
      </c>
      <c r="E12" s="23">
        <v>5</v>
      </c>
      <c r="F12" s="23">
        <v>36</v>
      </c>
      <c r="G12" s="23">
        <v>67</v>
      </c>
      <c r="H12" s="23">
        <v>176</v>
      </c>
      <c r="I12" s="28">
        <v>258</v>
      </c>
    </row>
    <row r="13" spans="1:9" x14ac:dyDescent="0.25">
      <c r="A13" s="20">
        <v>6</v>
      </c>
      <c r="B13" s="27">
        <v>44967</v>
      </c>
      <c r="C13" s="23">
        <v>1</v>
      </c>
      <c r="D13" s="23">
        <v>0</v>
      </c>
      <c r="E13" s="23">
        <v>4</v>
      </c>
      <c r="F13" s="23">
        <v>28</v>
      </c>
      <c r="G13" s="23">
        <v>71</v>
      </c>
      <c r="H13" s="23">
        <v>155</v>
      </c>
      <c r="I13" s="28">
        <v>237</v>
      </c>
    </row>
    <row r="14" spans="1:9" x14ac:dyDescent="0.25">
      <c r="A14" s="20">
        <v>7</v>
      </c>
      <c r="B14" s="27">
        <v>44974</v>
      </c>
      <c r="C14" s="23">
        <v>0</v>
      </c>
      <c r="D14" s="23">
        <v>0</v>
      </c>
      <c r="E14" s="23">
        <v>2</v>
      </c>
      <c r="F14" s="23">
        <v>40</v>
      </c>
      <c r="G14" s="23">
        <v>69</v>
      </c>
      <c r="H14" s="23">
        <v>142</v>
      </c>
      <c r="I14" s="28">
        <v>223</v>
      </c>
    </row>
    <row r="15" spans="1:9" x14ac:dyDescent="0.25">
      <c r="A15" s="20">
        <v>8</v>
      </c>
      <c r="B15" s="27">
        <v>44981</v>
      </c>
      <c r="C15" s="23">
        <v>0</v>
      </c>
      <c r="D15" s="23">
        <v>0</v>
      </c>
      <c r="E15" s="23">
        <v>6</v>
      </c>
      <c r="F15" s="23">
        <v>37</v>
      </c>
      <c r="G15" s="23">
        <v>65</v>
      </c>
      <c r="H15" s="23">
        <v>144</v>
      </c>
      <c r="I15" s="28">
        <v>224</v>
      </c>
    </row>
    <row r="16" spans="1:9" x14ac:dyDescent="0.25">
      <c r="A16" s="20">
        <v>9</v>
      </c>
      <c r="B16" s="27">
        <v>44988</v>
      </c>
      <c r="C16" s="23">
        <v>0</v>
      </c>
      <c r="D16" s="23">
        <v>0</v>
      </c>
      <c r="E16" s="23">
        <v>4</v>
      </c>
      <c r="F16" s="23">
        <v>30</v>
      </c>
      <c r="G16" s="23">
        <v>76</v>
      </c>
      <c r="H16" s="23">
        <v>195</v>
      </c>
      <c r="I16" s="28">
        <v>260</v>
      </c>
    </row>
    <row r="17" spans="1:9" x14ac:dyDescent="0.25">
      <c r="A17" s="20">
        <v>10</v>
      </c>
      <c r="B17" s="27">
        <v>44995</v>
      </c>
      <c r="C17" s="23">
        <v>0</v>
      </c>
      <c r="D17" s="23">
        <v>1</v>
      </c>
      <c r="E17" s="23">
        <v>4</v>
      </c>
      <c r="F17" s="23">
        <v>43</v>
      </c>
      <c r="G17" s="23">
        <v>77</v>
      </c>
      <c r="H17" s="23">
        <v>192</v>
      </c>
      <c r="I17" s="28">
        <v>288</v>
      </c>
    </row>
    <row r="18" spans="1:9" x14ac:dyDescent="0.25">
      <c r="A18" s="20">
        <v>11</v>
      </c>
      <c r="B18" s="27">
        <v>45002</v>
      </c>
      <c r="C18" s="23">
        <v>0</v>
      </c>
      <c r="D18" s="23">
        <v>1</v>
      </c>
      <c r="E18" s="23">
        <v>9</v>
      </c>
      <c r="F18" s="23">
        <v>38</v>
      </c>
      <c r="G18" s="23">
        <v>80</v>
      </c>
      <c r="H18" s="23">
        <v>194</v>
      </c>
      <c r="I18" s="28">
        <v>297</v>
      </c>
    </row>
    <row r="19" spans="1:9" x14ac:dyDescent="0.25">
      <c r="A19" s="20">
        <v>12</v>
      </c>
      <c r="B19" s="27">
        <v>45009</v>
      </c>
      <c r="C19" s="23">
        <v>0</v>
      </c>
      <c r="D19" s="23">
        <v>1</v>
      </c>
      <c r="E19" s="23">
        <v>8</v>
      </c>
      <c r="F19" s="23">
        <v>39</v>
      </c>
      <c r="G19" s="23">
        <v>92</v>
      </c>
      <c r="H19" s="23">
        <v>215</v>
      </c>
      <c r="I19" s="28">
        <v>346</v>
      </c>
    </row>
    <row r="20" spans="1:9" x14ac:dyDescent="0.25">
      <c r="A20" s="20">
        <v>13</v>
      </c>
      <c r="B20" s="27">
        <v>45016</v>
      </c>
      <c r="C20" s="23">
        <v>0</v>
      </c>
      <c r="D20" s="23">
        <v>0</v>
      </c>
      <c r="E20" s="23">
        <v>1</v>
      </c>
      <c r="F20" s="23">
        <v>52</v>
      </c>
      <c r="G20" s="23">
        <v>88</v>
      </c>
      <c r="H20" s="23">
        <v>233</v>
      </c>
      <c r="I20" s="28">
        <v>356</v>
      </c>
    </row>
    <row r="21" spans="1:9" x14ac:dyDescent="0.25">
      <c r="A21" s="20">
        <v>14</v>
      </c>
      <c r="B21" s="27">
        <v>45023</v>
      </c>
      <c r="C21" s="23">
        <v>2</v>
      </c>
      <c r="D21" s="23">
        <v>0</v>
      </c>
      <c r="E21" s="23">
        <v>3</v>
      </c>
      <c r="F21" s="23">
        <v>37</v>
      </c>
      <c r="G21" s="23">
        <v>72</v>
      </c>
      <c r="H21" s="23">
        <v>193</v>
      </c>
      <c r="I21" s="28">
        <v>288</v>
      </c>
    </row>
    <row r="22" spans="1:9" x14ac:dyDescent="0.25">
      <c r="A22" s="20">
        <v>15</v>
      </c>
      <c r="B22" s="27">
        <v>45030</v>
      </c>
      <c r="C22" s="23">
        <v>0</v>
      </c>
      <c r="D22" s="23">
        <v>0</v>
      </c>
      <c r="E22" s="23">
        <v>3</v>
      </c>
      <c r="F22" s="23">
        <v>33</v>
      </c>
      <c r="G22" s="23">
        <v>71</v>
      </c>
      <c r="H22" s="23">
        <v>194</v>
      </c>
      <c r="I22" s="28">
        <v>246</v>
      </c>
    </row>
    <row r="23" spans="1:9" x14ac:dyDescent="0.25">
      <c r="A23" s="20">
        <v>16</v>
      </c>
      <c r="B23" s="27">
        <v>45037</v>
      </c>
      <c r="C23" s="23">
        <v>0</v>
      </c>
      <c r="D23" s="23">
        <v>0</v>
      </c>
      <c r="E23" s="23">
        <v>7</v>
      </c>
      <c r="F23" s="23">
        <v>50</v>
      </c>
      <c r="G23" s="23">
        <v>75</v>
      </c>
      <c r="H23" s="23">
        <v>203</v>
      </c>
      <c r="I23" s="28">
        <v>280</v>
      </c>
    </row>
    <row r="24" spans="1:9" x14ac:dyDescent="0.25">
      <c r="A24" s="20">
        <v>17</v>
      </c>
      <c r="B24" s="27">
        <v>45044</v>
      </c>
      <c r="C24" s="23">
        <v>0</v>
      </c>
      <c r="D24" s="23">
        <v>0</v>
      </c>
      <c r="E24" s="23">
        <v>6</v>
      </c>
      <c r="F24" s="23">
        <v>42</v>
      </c>
      <c r="G24" s="23">
        <v>63</v>
      </c>
      <c r="H24" s="23">
        <v>174</v>
      </c>
      <c r="I24" s="28">
        <v>247</v>
      </c>
    </row>
    <row r="25" spans="1:9" x14ac:dyDescent="0.25">
      <c r="A25" s="20">
        <v>18</v>
      </c>
      <c r="B25" s="27">
        <v>45051</v>
      </c>
      <c r="C25" s="23">
        <v>1</v>
      </c>
      <c r="D25" s="23">
        <v>0</v>
      </c>
      <c r="E25" s="23">
        <v>4</v>
      </c>
      <c r="F25" s="23">
        <v>26</v>
      </c>
      <c r="G25" s="23">
        <v>41</v>
      </c>
      <c r="H25" s="23">
        <v>114</v>
      </c>
      <c r="I25" s="28">
        <v>181</v>
      </c>
    </row>
    <row r="26" spans="1:9" x14ac:dyDescent="0.25">
      <c r="A26" s="20">
        <v>19</v>
      </c>
      <c r="B26" s="27">
        <v>45058</v>
      </c>
      <c r="C26" s="23">
        <v>0</v>
      </c>
      <c r="D26" s="23">
        <v>0</v>
      </c>
      <c r="E26" s="23">
        <v>1</v>
      </c>
      <c r="F26" s="23">
        <v>27</v>
      </c>
      <c r="G26" s="23">
        <v>43</v>
      </c>
      <c r="H26" s="23">
        <v>107</v>
      </c>
      <c r="I26" s="28">
        <v>175</v>
      </c>
    </row>
    <row r="27" spans="1:9" x14ac:dyDescent="0.25">
      <c r="A27" s="20">
        <v>20</v>
      </c>
      <c r="B27" s="27">
        <v>45065</v>
      </c>
      <c r="C27" s="23">
        <v>0</v>
      </c>
      <c r="D27" s="23">
        <v>0</v>
      </c>
      <c r="E27" s="23">
        <v>3</v>
      </c>
      <c r="F27" s="23">
        <v>19</v>
      </c>
      <c r="G27" s="23">
        <v>51</v>
      </c>
      <c r="H27" s="23">
        <v>121</v>
      </c>
      <c r="I27" s="28">
        <v>164</v>
      </c>
    </row>
    <row r="28" spans="1:9" x14ac:dyDescent="0.25">
      <c r="A28" s="20">
        <v>21</v>
      </c>
      <c r="B28" s="27">
        <v>45072</v>
      </c>
      <c r="C28" s="23">
        <v>0</v>
      </c>
      <c r="D28" s="23">
        <v>0</v>
      </c>
      <c r="E28" s="23">
        <v>1</v>
      </c>
      <c r="F28" s="23">
        <v>21</v>
      </c>
      <c r="G28" s="23">
        <v>44</v>
      </c>
      <c r="H28" s="23">
        <v>90</v>
      </c>
      <c r="I28" s="28">
        <v>126</v>
      </c>
    </row>
    <row r="29" spans="1:9" x14ac:dyDescent="0.25">
      <c r="A29" s="20">
        <v>22</v>
      </c>
      <c r="B29" s="27">
        <v>45079</v>
      </c>
      <c r="C29" s="23">
        <v>0</v>
      </c>
      <c r="D29" s="23">
        <v>1</v>
      </c>
      <c r="E29" s="23">
        <v>0</v>
      </c>
      <c r="F29" s="23">
        <v>10</v>
      </c>
      <c r="G29" s="23">
        <v>28</v>
      </c>
      <c r="H29" s="23">
        <v>87</v>
      </c>
      <c r="I29" s="28">
        <v>83</v>
      </c>
    </row>
    <row r="30" spans="1:9" x14ac:dyDescent="0.25">
      <c r="A30" s="20">
        <v>23</v>
      </c>
      <c r="B30" s="27">
        <v>45086</v>
      </c>
      <c r="C30" s="23">
        <v>0</v>
      </c>
      <c r="D30" s="23">
        <v>0</v>
      </c>
      <c r="E30" s="23">
        <v>3</v>
      </c>
      <c r="F30" s="23">
        <v>21</v>
      </c>
      <c r="G30" s="23">
        <v>29</v>
      </c>
      <c r="H30" s="23">
        <v>82</v>
      </c>
      <c r="I30" s="28">
        <v>95</v>
      </c>
    </row>
    <row r="31" spans="1:9" x14ac:dyDescent="0.25">
      <c r="A31" s="20">
        <v>24</v>
      </c>
      <c r="B31" s="27">
        <v>45093</v>
      </c>
      <c r="C31" s="23">
        <v>2</v>
      </c>
      <c r="D31" s="23">
        <v>0</v>
      </c>
      <c r="E31" s="23">
        <v>3</v>
      </c>
      <c r="F31" s="23">
        <v>8</v>
      </c>
      <c r="G31" s="23">
        <v>24</v>
      </c>
      <c r="H31" s="23">
        <v>63</v>
      </c>
      <c r="I31" s="28">
        <v>73</v>
      </c>
    </row>
    <row r="32" spans="1:9" x14ac:dyDescent="0.25">
      <c r="A32" s="20">
        <v>25</v>
      </c>
      <c r="B32" s="27">
        <v>45100</v>
      </c>
      <c r="C32" s="23">
        <v>0</v>
      </c>
      <c r="D32" s="23">
        <v>0</v>
      </c>
      <c r="E32" s="23">
        <v>1</v>
      </c>
      <c r="F32" s="23">
        <v>11</v>
      </c>
      <c r="G32" s="23">
        <v>31</v>
      </c>
      <c r="H32" s="23">
        <v>56</v>
      </c>
      <c r="I32" s="28">
        <v>75</v>
      </c>
    </row>
    <row r="33" spans="1:9" x14ac:dyDescent="0.25">
      <c r="A33" s="20">
        <v>26</v>
      </c>
      <c r="B33" s="27">
        <v>45107</v>
      </c>
      <c r="C33" s="23">
        <v>0</v>
      </c>
      <c r="D33" s="23">
        <v>0</v>
      </c>
      <c r="E33" s="23">
        <v>1</v>
      </c>
      <c r="F33" s="23">
        <v>13</v>
      </c>
      <c r="G33" s="23">
        <v>21</v>
      </c>
      <c r="H33" s="23">
        <v>45</v>
      </c>
      <c r="I33" s="28">
        <v>62</v>
      </c>
    </row>
    <row r="34" spans="1:9" x14ac:dyDescent="0.25">
      <c r="A34" s="20">
        <v>27</v>
      </c>
      <c r="B34" s="27">
        <v>45114</v>
      </c>
      <c r="C34" s="23">
        <v>0</v>
      </c>
      <c r="D34" s="23">
        <v>0</v>
      </c>
      <c r="E34" s="23">
        <v>1</v>
      </c>
      <c r="F34" s="23">
        <v>7</v>
      </c>
      <c r="G34" s="23">
        <v>18</v>
      </c>
      <c r="H34" s="23">
        <v>32</v>
      </c>
      <c r="I34" s="28">
        <v>51</v>
      </c>
    </row>
    <row r="35" spans="1:9" x14ac:dyDescent="0.25">
      <c r="A35" s="20">
        <v>28</v>
      </c>
      <c r="B35" s="27">
        <v>45121</v>
      </c>
      <c r="C35" s="23">
        <v>0</v>
      </c>
      <c r="D35" s="23">
        <v>1</v>
      </c>
      <c r="E35" s="23">
        <v>0</v>
      </c>
      <c r="F35" s="23">
        <v>8</v>
      </c>
      <c r="G35" s="23">
        <v>14</v>
      </c>
      <c r="H35" s="23">
        <v>29</v>
      </c>
      <c r="I35" s="28">
        <v>29</v>
      </c>
    </row>
    <row r="36" spans="1:9" x14ac:dyDescent="0.25">
      <c r="A36" s="20">
        <v>29</v>
      </c>
      <c r="B36" s="27">
        <v>45128</v>
      </c>
      <c r="C36" s="23">
        <v>0</v>
      </c>
      <c r="D36" s="23">
        <v>0</v>
      </c>
      <c r="E36" s="23">
        <v>1</v>
      </c>
      <c r="F36" s="23">
        <v>8</v>
      </c>
      <c r="G36" s="23">
        <v>13</v>
      </c>
      <c r="H36" s="23">
        <v>27</v>
      </c>
      <c r="I36" s="28">
        <v>34</v>
      </c>
    </row>
    <row r="37" spans="1:9" x14ac:dyDescent="0.25">
      <c r="A37" s="20">
        <v>30</v>
      </c>
      <c r="B37" s="27">
        <v>45135</v>
      </c>
      <c r="C37" s="23">
        <v>0</v>
      </c>
      <c r="D37" s="23">
        <v>0</v>
      </c>
      <c r="E37" s="23">
        <v>2</v>
      </c>
      <c r="F37" s="23">
        <v>9</v>
      </c>
      <c r="G37" s="23">
        <v>12</v>
      </c>
      <c r="H37" s="23">
        <v>24</v>
      </c>
      <c r="I37" s="28">
        <v>24</v>
      </c>
    </row>
    <row r="38" spans="1:9" x14ac:dyDescent="0.25">
      <c r="A38" s="20">
        <v>31</v>
      </c>
      <c r="B38" s="27">
        <v>45142</v>
      </c>
      <c r="C38" s="23">
        <v>1</v>
      </c>
      <c r="D38" s="23">
        <v>1</v>
      </c>
      <c r="E38" s="23">
        <v>0</v>
      </c>
      <c r="F38" s="23">
        <v>7</v>
      </c>
      <c r="G38" s="23">
        <v>10</v>
      </c>
      <c r="H38" s="23">
        <v>21</v>
      </c>
      <c r="I38" s="28">
        <v>40</v>
      </c>
    </row>
    <row r="39" spans="1:9" x14ac:dyDescent="0.25">
      <c r="A39" s="20">
        <v>32</v>
      </c>
      <c r="B39" s="27">
        <v>45149</v>
      </c>
      <c r="C39" s="23">
        <v>0</v>
      </c>
      <c r="D39" s="23">
        <v>0</v>
      </c>
      <c r="E39" s="23">
        <v>0</v>
      </c>
      <c r="F39" s="23">
        <v>15</v>
      </c>
      <c r="G39" s="23">
        <v>18</v>
      </c>
      <c r="H39" s="23">
        <v>43</v>
      </c>
      <c r="I39" s="28">
        <v>57</v>
      </c>
    </row>
    <row r="40" spans="1:9" x14ac:dyDescent="0.25">
      <c r="A40" s="20">
        <v>33</v>
      </c>
      <c r="B40" s="27">
        <v>45156</v>
      </c>
      <c r="C40" s="23">
        <v>0</v>
      </c>
      <c r="D40" s="23">
        <v>0</v>
      </c>
      <c r="E40" s="23">
        <v>2</v>
      </c>
      <c r="F40" s="23">
        <v>6</v>
      </c>
      <c r="G40" s="23">
        <v>25</v>
      </c>
      <c r="H40" s="23">
        <v>48</v>
      </c>
      <c r="I40" s="28">
        <v>72</v>
      </c>
    </row>
    <row r="41" spans="1:9" x14ac:dyDescent="0.25">
      <c r="A41" s="20">
        <v>34</v>
      </c>
      <c r="B41" s="27">
        <v>45163</v>
      </c>
      <c r="C41" s="23">
        <v>0</v>
      </c>
      <c r="D41" s="23">
        <v>1</v>
      </c>
      <c r="E41" s="23">
        <v>1</v>
      </c>
      <c r="F41" s="23">
        <v>16</v>
      </c>
      <c r="G41" s="23">
        <v>46</v>
      </c>
      <c r="H41" s="23">
        <v>80</v>
      </c>
      <c r="I41" s="28">
        <v>96</v>
      </c>
    </row>
    <row r="42" spans="1:9" x14ac:dyDescent="0.25">
      <c r="A42" s="20">
        <v>35</v>
      </c>
      <c r="B42" s="27">
        <v>45170</v>
      </c>
      <c r="C42" s="23">
        <v>0</v>
      </c>
      <c r="D42" s="23">
        <v>0</v>
      </c>
      <c r="E42" s="23">
        <v>0</v>
      </c>
      <c r="F42" s="23">
        <v>16</v>
      </c>
      <c r="G42" s="23">
        <v>32</v>
      </c>
      <c r="H42" s="23">
        <v>62</v>
      </c>
      <c r="I42" s="28">
        <v>70</v>
      </c>
    </row>
    <row r="43" spans="1:9" x14ac:dyDescent="0.25">
      <c r="A43" s="10"/>
      <c r="B43" s="10"/>
      <c r="C43" s="10"/>
      <c r="D43" s="10"/>
      <c r="E43" s="10"/>
      <c r="F43" s="10"/>
      <c r="G43" s="10"/>
      <c r="H43" s="10"/>
      <c r="I43" s="10"/>
    </row>
    <row r="44" spans="1:9" ht="15.6" x14ac:dyDescent="0.3">
      <c r="A44" s="3" t="s">
        <v>190</v>
      </c>
    </row>
    <row r="45" spans="1:9" ht="15.6" x14ac:dyDescent="0.25">
      <c r="A45" s="12" t="s">
        <v>116</v>
      </c>
      <c r="B45" s="11" t="s">
        <v>131</v>
      </c>
      <c r="C45" s="21" t="s">
        <v>133</v>
      </c>
      <c r="D45" s="21" t="s">
        <v>184</v>
      </c>
      <c r="E45" s="21" t="s">
        <v>185</v>
      </c>
      <c r="F45" s="21" t="s">
        <v>186</v>
      </c>
      <c r="G45" s="21" t="s">
        <v>187</v>
      </c>
      <c r="H45" s="21" t="s">
        <v>188</v>
      </c>
      <c r="I45" s="24" t="s">
        <v>189</v>
      </c>
    </row>
    <row r="46" spans="1:9" x14ac:dyDescent="0.25">
      <c r="A46" s="19">
        <v>1</v>
      </c>
      <c r="B46" s="25">
        <v>44932</v>
      </c>
      <c r="C46" s="22">
        <v>0</v>
      </c>
      <c r="D46" s="22">
        <v>0</v>
      </c>
      <c r="E46" s="22">
        <v>6</v>
      </c>
      <c r="F46" s="22">
        <v>32</v>
      </c>
      <c r="G46" s="22">
        <v>51</v>
      </c>
      <c r="H46" s="22">
        <v>153</v>
      </c>
      <c r="I46" s="26">
        <v>190</v>
      </c>
    </row>
    <row r="47" spans="1:9" x14ac:dyDescent="0.25">
      <c r="A47" s="20">
        <v>2</v>
      </c>
      <c r="B47" s="27">
        <v>44939</v>
      </c>
      <c r="C47" s="23">
        <v>0</v>
      </c>
      <c r="D47" s="23">
        <v>1</v>
      </c>
      <c r="E47" s="23">
        <v>2</v>
      </c>
      <c r="F47" s="23">
        <v>32</v>
      </c>
      <c r="G47" s="23">
        <v>87</v>
      </c>
      <c r="H47" s="23">
        <v>169</v>
      </c>
      <c r="I47" s="28">
        <v>267</v>
      </c>
    </row>
    <row r="48" spans="1:9" x14ac:dyDescent="0.25">
      <c r="A48" s="20">
        <v>3</v>
      </c>
      <c r="B48" s="27">
        <v>44946</v>
      </c>
      <c r="C48" s="23">
        <v>0</v>
      </c>
      <c r="D48" s="23">
        <v>0</v>
      </c>
      <c r="E48" s="23">
        <v>3</v>
      </c>
      <c r="F48" s="23">
        <v>29</v>
      </c>
      <c r="G48" s="23">
        <v>43</v>
      </c>
      <c r="H48" s="23">
        <v>169</v>
      </c>
      <c r="I48" s="28">
        <v>199</v>
      </c>
    </row>
    <row r="49" spans="1:9" x14ac:dyDescent="0.25">
      <c r="A49" s="20">
        <v>4</v>
      </c>
      <c r="B49" s="27">
        <v>44953</v>
      </c>
      <c r="C49" s="23">
        <v>0</v>
      </c>
      <c r="D49" s="23">
        <v>0</v>
      </c>
      <c r="E49" s="23">
        <v>2</v>
      </c>
      <c r="F49" s="23">
        <v>19</v>
      </c>
      <c r="G49" s="23">
        <v>43</v>
      </c>
      <c r="H49" s="23">
        <v>119</v>
      </c>
      <c r="I49" s="28">
        <v>165</v>
      </c>
    </row>
    <row r="50" spans="1:9" x14ac:dyDescent="0.25">
      <c r="A50" s="20">
        <v>5</v>
      </c>
      <c r="B50" s="27">
        <v>44960</v>
      </c>
      <c r="C50" s="23">
        <v>0</v>
      </c>
      <c r="D50" s="23">
        <v>1</v>
      </c>
      <c r="E50" s="23">
        <v>0</v>
      </c>
      <c r="F50" s="23">
        <v>17</v>
      </c>
      <c r="G50" s="23">
        <v>42</v>
      </c>
      <c r="H50" s="23">
        <v>104</v>
      </c>
      <c r="I50" s="28">
        <v>123</v>
      </c>
    </row>
    <row r="51" spans="1:9" x14ac:dyDescent="0.25">
      <c r="A51" s="20">
        <v>6</v>
      </c>
      <c r="B51" s="27">
        <v>44967</v>
      </c>
      <c r="C51" s="23">
        <v>1</v>
      </c>
      <c r="D51" s="23">
        <v>0</v>
      </c>
      <c r="E51" s="23">
        <v>2</v>
      </c>
      <c r="F51" s="23">
        <v>19</v>
      </c>
      <c r="G51" s="23">
        <v>41</v>
      </c>
      <c r="H51" s="23">
        <v>89</v>
      </c>
      <c r="I51" s="28">
        <v>108</v>
      </c>
    </row>
    <row r="52" spans="1:9" x14ac:dyDescent="0.25">
      <c r="A52" s="20">
        <v>7</v>
      </c>
      <c r="B52" s="27">
        <v>44974</v>
      </c>
      <c r="C52" s="23">
        <v>0</v>
      </c>
      <c r="D52" s="23">
        <v>0</v>
      </c>
      <c r="E52" s="23">
        <v>0</v>
      </c>
      <c r="F52" s="23">
        <v>25</v>
      </c>
      <c r="G52" s="23">
        <v>45</v>
      </c>
      <c r="H52" s="23">
        <v>77</v>
      </c>
      <c r="I52" s="28">
        <v>106</v>
      </c>
    </row>
    <row r="53" spans="1:9" x14ac:dyDescent="0.25">
      <c r="A53" s="20">
        <v>8</v>
      </c>
      <c r="B53" s="27">
        <v>44981</v>
      </c>
      <c r="C53" s="23">
        <v>0</v>
      </c>
      <c r="D53" s="23">
        <v>0</v>
      </c>
      <c r="E53" s="23">
        <v>2</v>
      </c>
      <c r="F53" s="23">
        <v>20</v>
      </c>
      <c r="G53" s="23">
        <v>37</v>
      </c>
      <c r="H53" s="23">
        <v>82</v>
      </c>
      <c r="I53" s="28">
        <v>99</v>
      </c>
    </row>
    <row r="54" spans="1:9" x14ac:dyDescent="0.25">
      <c r="A54" s="20">
        <v>9</v>
      </c>
      <c r="B54" s="27">
        <v>44988</v>
      </c>
      <c r="C54" s="23">
        <v>0</v>
      </c>
      <c r="D54" s="23">
        <v>0</v>
      </c>
      <c r="E54" s="23">
        <v>2</v>
      </c>
      <c r="F54" s="23">
        <v>19</v>
      </c>
      <c r="G54" s="23">
        <v>40</v>
      </c>
      <c r="H54" s="23">
        <v>105</v>
      </c>
      <c r="I54" s="28">
        <v>119</v>
      </c>
    </row>
    <row r="55" spans="1:9" x14ac:dyDescent="0.25">
      <c r="A55" s="20">
        <v>10</v>
      </c>
      <c r="B55" s="27">
        <v>44995</v>
      </c>
      <c r="C55" s="23">
        <v>0</v>
      </c>
      <c r="D55" s="23">
        <v>0</v>
      </c>
      <c r="E55" s="23">
        <v>3</v>
      </c>
      <c r="F55" s="23">
        <v>29</v>
      </c>
      <c r="G55" s="23">
        <v>49</v>
      </c>
      <c r="H55" s="23">
        <v>109</v>
      </c>
      <c r="I55" s="28">
        <v>130</v>
      </c>
    </row>
    <row r="56" spans="1:9" x14ac:dyDescent="0.25">
      <c r="A56" s="20">
        <v>11</v>
      </c>
      <c r="B56" s="27">
        <v>45002</v>
      </c>
      <c r="C56" s="23">
        <v>0</v>
      </c>
      <c r="D56" s="23">
        <v>1</v>
      </c>
      <c r="E56" s="23">
        <v>8</v>
      </c>
      <c r="F56" s="23">
        <v>24</v>
      </c>
      <c r="G56" s="23">
        <v>46</v>
      </c>
      <c r="H56" s="23">
        <v>95</v>
      </c>
      <c r="I56" s="28">
        <v>146</v>
      </c>
    </row>
    <row r="57" spans="1:9" x14ac:dyDescent="0.25">
      <c r="A57" s="20">
        <v>12</v>
      </c>
      <c r="B57" s="27">
        <v>45009</v>
      </c>
      <c r="C57" s="23">
        <v>0</v>
      </c>
      <c r="D57" s="23">
        <v>1</v>
      </c>
      <c r="E57" s="23">
        <v>5</v>
      </c>
      <c r="F57" s="23">
        <v>15</v>
      </c>
      <c r="G57" s="23">
        <v>48</v>
      </c>
      <c r="H57" s="23">
        <v>119</v>
      </c>
      <c r="I57" s="28">
        <v>158</v>
      </c>
    </row>
    <row r="58" spans="1:9" x14ac:dyDescent="0.25">
      <c r="A58" s="20">
        <v>13</v>
      </c>
      <c r="B58" s="27">
        <v>45016</v>
      </c>
      <c r="C58" s="23">
        <v>0</v>
      </c>
      <c r="D58" s="23">
        <v>0</v>
      </c>
      <c r="E58" s="23">
        <v>1</v>
      </c>
      <c r="F58" s="23">
        <v>23</v>
      </c>
      <c r="G58" s="23">
        <v>47</v>
      </c>
      <c r="H58" s="23">
        <v>127</v>
      </c>
      <c r="I58" s="28">
        <v>165</v>
      </c>
    </row>
    <row r="59" spans="1:9" x14ac:dyDescent="0.25">
      <c r="A59" s="20">
        <v>14</v>
      </c>
      <c r="B59" s="27">
        <v>45023</v>
      </c>
      <c r="C59" s="23">
        <v>2</v>
      </c>
      <c r="D59" s="23">
        <v>0</v>
      </c>
      <c r="E59" s="23">
        <v>2</v>
      </c>
      <c r="F59" s="23">
        <v>20</v>
      </c>
      <c r="G59" s="23">
        <v>40</v>
      </c>
      <c r="H59" s="23">
        <v>103</v>
      </c>
      <c r="I59" s="28">
        <v>136</v>
      </c>
    </row>
    <row r="60" spans="1:9" x14ac:dyDescent="0.25">
      <c r="A60" s="20">
        <v>15</v>
      </c>
      <c r="B60" s="27">
        <v>45030</v>
      </c>
      <c r="C60" s="23">
        <v>0</v>
      </c>
      <c r="D60" s="23">
        <v>0</v>
      </c>
      <c r="E60" s="23">
        <v>3</v>
      </c>
      <c r="F60" s="23">
        <v>18</v>
      </c>
      <c r="G60" s="23">
        <v>37</v>
      </c>
      <c r="H60" s="23">
        <v>121</v>
      </c>
      <c r="I60" s="28">
        <v>126</v>
      </c>
    </row>
    <row r="61" spans="1:9" x14ac:dyDescent="0.25">
      <c r="A61" s="20">
        <v>16</v>
      </c>
      <c r="B61" s="27">
        <v>45037</v>
      </c>
      <c r="C61" s="23">
        <v>0</v>
      </c>
      <c r="D61" s="23">
        <v>0</v>
      </c>
      <c r="E61" s="23">
        <v>3</v>
      </c>
      <c r="F61" s="23">
        <v>28</v>
      </c>
      <c r="G61" s="23">
        <v>39</v>
      </c>
      <c r="H61" s="23">
        <v>127</v>
      </c>
      <c r="I61" s="28">
        <v>150</v>
      </c>
    </row>
    <row r="62" spans="1:9" x14ac:dyDescent="0.25">
      <c r="A62" s="20">
        <v>17</v>
      </c>
      <c r="B62" s="27">
        <v>45044</v>
      </c>
      <c r="C62" s="23">
        <v>0</v>
      </c>
      <c r="D62" s="23">
        <v>0</v>
      </c>
      <c r="E62" s="23">
        <v>1</v>
      </c>
      <c r="F62" s="23">
        <v>26</v>
      </c>
      <c r="G62" s="23">
        <v>35</v>
      </c>
      <c r="H62" s="23">
        <v>93</v>
      </c>
      <c r="I62" s="28">
        <v>123</v>
      </c>
    </row>
    <row r="63" spans="1:9" x14ac:dyDescent="0.25">
      <c r="A63" s="20">
        <v>18</v>
      </c>
      <c r="B63" s="27">
        <v>45051</v>
      </c>
      <c r="C63" s="23">
        <v>0</v>
      </c>
      <c r="D63" s="23">
        <v>0</v>
      </c>
      <c r="E63" s="23">
        <v>2</v>
      </c>
      <c r="F63" s="23">
        <v>15</v>
      </c>
      <c r="G63" s="23">
        <v>25</v>
      </c>
      <c r="H63" s="23">
        <v>66</v>
      </c>
      <c r="I63" s="28">
        <v>95</v>
      </c>
    </row>
    <row r="64" spans="1:9" x14ac:dyDescent="0.25">
      <c r="A64" s="20">
        <v>19</v>
      </c>
      <c r="B64" s="27">
        <v>45058</v>
      </c>
      <c r="C64" s="23">
        <v>0</v>
      </c>
      <c r="D64" s="23">
        <v>0</v>
      </c>
      <c r="E64" s="23">
        <v>0</v>
      </c>
      <c r="F64" s="23">
        <v>19</v>
      </c>
      <c r="G64" s="23">
        <v>23</v>
      </c>
      <c r="H64" s="23">
        <v>63</v>
      </c>
      <c r="I64" s="28">
        <v>96</v>
      </c>
    </row>
    <row r="65" spans="1:9" x14ac:dyDescent="0.25">
      <c r="A65" s="20">
        <v>20</v>
      </c>
      <c r="B65" s="27">
        <v>45065</v>
      </c>
      <c r="C65" s="23">
        <v>0</v>
      </c>
      <c r="D65" s="23">
        <v>0</v>
      </c>
      <c r="E65" s="23">
        <v>2</v>
      </c>
      <c r="F65" s="23">
        <v>13</v>
      </c>
      <c r="G65" s="23">
        <v>29</v>
      </c>
      <c r="H65" s="23">
        <v>75</v>
      </c>
      <c r="I65" s="28">
        <v>79</v>
      </c>
    </row>
    <row r="66" spans="1:9" x14ac:dyDescent="0.25">
      <c r="A66" s="20">
        <v>21</v>
      </c>
      <c r="B66" s="27">
        <v>45072</v>
      </c>
      <c r="C66" s="23">
        <v>0</v>
      </c>
      <c r="D66" s="23">
        <v>0</v>
      </c>
      <c r="E66" s="23">
        <v>1</v>
      </c>
      <c r="F66" s="23">
        <v>13</v>
      </c>
      <c r="G66" s="23">
        <v>25</v>
      </c>
      <c r="H66" s="23">
        <v>57</v>
      </c>
      <c r="I66" s="28">
        <v>74</v>
      </c>
    </row>
    <row r="67" spans="1:9" x14ac:dyDescent="0.25">
      <c r="A67" s="20">
        <v>22</v>
      </c>
      <c r="B67" s="27">
        <v>45079</v>
      </c>
      <c r="C67" s="23">
        <v>0</v>
      </c>
      <c r="D67" s="23">
        <v>0</v>
      </c>
      <c r="E67" s="23">
        <v>0</v>
      </c>
      <c r="F67" s="23">
        <v>6</v>
      </c>
      <c r="G67" s="23">
        <v>17</v>
      </c>
      <c r="H67" s="23">
        <v>49</v>
      </c>
      <c r="I67" s="28">
        <v>46</v>
      </c>
    </row>
    <row r="68" spans="1:9" x14ac:dyDescent="0.25">
      <c r="A68" s="20">
        <v>23</v>
      </c>
      <c r="B68" s="27">
        <v>45086</v>
      </c>
      <c r="C68" s="23">
        <v>0</v>
      </c>
      <c r="D68" s="23">
        <v>0</v>
      </c>
      <c r="E68" s="23">
        <v>3</v>
      </c>
      <c r="F68" s="23">
        <v>16</v>
      </c>
      <c r="G68" s="23">
        <v>19</v>
      </c>
      <c r="H68" s="23">
        <v>48</v>
      </c>
      <c r="I68" s="28">
        <v>47</v>
      </c>
    </row>
    <row r="69" spans="1:9" x14ac:dyDescent="0.25">
      <c r="A69" s="20">
        <v>24</v>
      </c>
      <c r="B69" s="27">
        <v>45093</v>
      </c>
      <c r="C69" s="23">
        <v>1</v>
      </c>
      <c r="D69" s="23">
        <v>0</v>
      </c>
      <c r="E69" s="23">
        <v>0</v>
      </c>
      <c r="F69" s="23">
        <v>6</v>
      </c>
      <c r="G69" s="23">
        <v>14</v>
      </c>
      <c r="H69" s="23">
        <v>41</v>
      </c>
      <c r="I69" s="28">
        <v>40</v>
      </c>
    </row>
    <row r="70" spans="1:9" x14ac:dyDescent="0.25">
      <c r="A70" s="20">
        <v>25</v>
      </c>
      <c r="B70" s="27">
        <v>45100</v>
      </c>
      <c r="C70" s="23">
        <v>0</v>
      </c>
      <c r="D70" s="23">
        <v>0</v>
      </c>
      <c r="E70" s="23">
        <v>1</v>
      </c>
      <c r="F70" s="23">
        <v>7</v>
      </c>
      <c r="G70" s="23">
        <v>17</v>
      </c>
      <c r="H70" s="23">
        <v>33</v>
      </c>
      <c r="I70" s="28">
        <v>36</v>
      </c>
    </row>
    <row r="71" spans="1:9" x14ac:dyDescent="0.25">
      <c r="A71" s="20">
        <v>26</v>
      </c>
      <c r="B71" s="27">
        <v>45107</v>
      </c>
      <c r="C71" s="23">
        <v>0</v>
      </c>
      <c r="D71" s="23">
        <v>0</v>
      </c>
      <c r="E71" s="23">
        <v>1</v>
      </c>
      <c r="F71" s="23">
        <v>7</v>
      </c>
      <c r="G71" s="23">
        <v>14</v>
      </c>
      <c r="H71" s="23">
        <v>30</v>
      </c>
      <c r="I71" s="28">
        <v>26</v>
      </c>
    </row>
    <row r="72" spans="1:9" x14ac:dyDescent="0.25">
      <c r="A72" s="20">
        <v>27</v>
      </c>
      <c r="B72" s="27">
        <v>45114</v>
      </c>
      <c r="C72" s="23">
        <v>0</v>
      </c>
      <c r="D72" s="23">
        <v>0</v>
      </c>
      <c r="E72" s="23">
        <v>0</v>
      </c>
      <c r="F72" s="23">
        <v>4</v>
      </c>
      <c r="G72" s="23">
        <v>10</v>
      </c>
      <c r="H72" s="23">
        <v>16</v>
      </c>
      <c r="I72" s="28">
        <v>31</v>
      </c>
    </row>
    <row r="73" spans="1:9" x14ac:dyDescent="0.25">
      <c r="A73" s="20">
        <v>28</v>
      </c>
      <c r="B73" s="27">
        <v>45121</v>
      </c>
      <c r="C73" s="23">
        <v>0</v>
      </c>
      <c r="D73" s="23">
        <v>1</v>
      </c>
      <c r="E73" s="23">
        <v>0</v>
      </c>
      <c r="F73" s="23">
        <v>6</v>
      </c>
      <c r="G73" s="23">
        <v>13</v>
      </c>
      <c r="H73" s="23">
        <v>17</v>
      </c>
      <c r="I73" s="28">
        <v>15</v>
      </c>
    </row>
    <row r="74" spans="1:9" x14ac:dyDescent="0.25">
      <c r="A74" s="20">
        <v>29</v>
      </c>
      <c r="B74" s="27">
        <v>45128</v>
      </c>
      <c r="C74" s="23">
        <v>0</v>
      </c>
      <c r="D74" s="23">
        <v>0</v>
      </c>
      <c r="E74" s="23">
        <v>0</v>
      </c>
      <c r="F74" s="23">
        <v>6</v>
      </c>
      <c r="G74" s="23">
        <v>7</v>
      </c>
      <c r="H74" s="23">
        <v>15</v>
      </c>
      <c r="I74" s="28">
        <v>18</v>
      </c>
    </row>
    <row r="75" spans="1:9" x14ac:dyDescent="0.25">
      <c r="A75" s="20">
        <v>30</v>
      </c>
      <c r="B75" s="27">
        <v>45135</v>
      </c>
      <c r="C75" s="23">
        <v>0</v>
      </c>
      <c r="D75" s="23">
        <v>0</v>
      </c>
      <c r="E75" s="23">
        <v>2</v>
      </c>
      <c r="F75" s="23">
        <v>3</v>
      </c>
      <c r="G75" s="23">
        <v>9</v>
      </c>
      <c r="H75" s="23">
        <v>15</v>
      </c>
      <c r="I75" s="28">
        <v>14</v>
      </c>
    </row>
    <row r="76" spans="1:9" x14ac:dyDescent="0.25">
      <c r="A76" s="20">
        <v>31</v>
      </c>
      <c r="B76" s="27">
        <v>45142</v>
      </c>
      <c r="C76" s="23">
        <v>1</v>
      </c>
      <c r="D76" s="23">
        <v>1</v>
      </c>
      <c r="E76" s="23">
        <v>0</v>
      </c>
      <c r="F76" s="23">
        <v>4</v>
      </c>
      <c r="G76" s="23">
        <v>6</v>
      </c>
      <c r="H76" s="23">
        <v>12</v>
      </c>
      <c r="I76" s="28">
        <v>21</v>
      </c>
    </row>
    <row r="77" spans="1:9" x14ac:dyDescent="0.25">
      <c r="A77" s="20">
        <v>32</v>
      </c>
      <c r="B77" s="27">
        <v>45149</v>
      </c>
      <c r="C77" s="23">
        <v>0</v>
      </c>
      <c r="D77" s="23">
        <v>0</v>
      </c>
      <c r="E77" s="23">
        <v>0</v>
      </c>
      <c r="F77" s="23">
        <v>7</v>
      </c>
      <c r="G77" s="23">
        <v>14</v>
      </c>
      <c r="H77" s="23">
        <v>31</v>
      </c>
      <c r="I77" s="28">
        <v>37</v>
      </c>
    </row>
    <row r="78" spans="1:9" x14ac:dyDescent="0.25">
      <c r="A78" s="20">
        <v>33</v>
      </c>
      <c r="B78" s="27">
        <v>45156</v>
      </c>
      <c r="C78" s="23">
        <v>0</v>
      </c>
      <c r="D78" s="23">
        <v>0</v>
      </c>
      <c r="E78" s="23">
        <v>2</v>
      </c>
      <c r="F78" s="23">
        <v>3</v>
      </c>
      <c r="G78" s="23">
        <v>17</v>
      </c>
      <c r="H78" s="23">
        <v>28</v>
      </c>
      <c r="I78" s="28">
        <v>38</v>
      </c>
    </row>
    <row r="79" spans="1:9" x14ac:dyDescent="0.25">
      <c r="A79" s="20">
        <v>34</v>
      </c>
      <c r="B79" s="27">
        <v>45163</v>
      </c>
      <c r="C79" s="23">
        <v>0</v>
      </c>
      <c r="D79" s="23">
        <v>1</v>
      </c>
      <c r="E79" s="23">
        <v>1</v>
      </c>
      <c r="F79" s="23">
        <v>13</v>
      </c>
      <c r="G79" s="23">
        <v>24</v>
      </c>
      <c r="H79" s="23">
        <v>56</v>
      </c>
      <c r="I79" s="28">
        <v>57</v>
      </c>
    </row>
    <row r="80" spans="1:9" x14ac:dyDescent="0.25">
      <c r="A80" s="20">
        <v>35</v>
      </c>
      <c r="B80" s="27">
        <v>45170</v>
      </c>
      <c r="C80" s="23">
        <v>0</v>
      </c>
      <c r="D80" s="23">
        <v>0</v>
      </c>
      <c r="E80" s="23">
        <v>0</v>
      </c>
      <c r="F80" s="23">
        <v>12</v>
      </c>
      <c r="G80" s="23">
        <v>23</v>
      </c>
      <c r="H80" s="23">
        <v>32</v>
      </c>
      <c r="I80" s="28">
        <v>42</v>
      </c>
    </row>
    <row r="81" spans="1:9" x14ac:dyDescent="0.25">
      <c r="A81" s="10"/>
      <c r="B81" s="10"/>
      <c r="C81" s="10"/>
      <c r="D81" s="10"/>
      <c r="E81" s="10"/>
      <c r="F81" s="10"/>
      <c r="G81" s="10"/>
      <c r="H81" s="10"/>
      <c r="I81" s="10"/>
    </row>
    <row r="82" spans="1:9" ht="15.6" x14ac:dyDescent="0.3">
      <c r="A82" s="3" t="s">
        <v>191</v>
      </c>
    </row>
    <row r="83" spans="1:9" ht="15.6" x14ac:dyDescent="0.3">
      <c r="A83" s="30" t="s">
        <v>116</v>
      </c>
      <c r="B83" s="11" t="s">
        <v>131</v>
      </c>
      <c r="C83" s="21" t="s">
        <v>133</v>
      </c>
      <c r="D83" s="21" t="s">
        <v>184</v>
      </c>
      <c r="E83" s="21" t="s">
        <v>185</v>
      </c>
      <c r="F83" s="21" t="s">
        <v>186</v>
      </c>
      <c r="G83" s="21" t="s">
        <v>187</v>
      </c>
      <c r="H83" s="21" t="s">
        <v>188</v>
      </c>
      <c r="I83" s="24" t="s">
        <v>189</v>
      </c>
    </row>
    <row r="84" spans="1:9" x14ac:dyDescent="0.25">
      <c r="A84" s="19">
        <v>1</v>
      </c>
      <c r="B84" s="25">
        <v>44932</v>
      </c>
      <c r="C84" s="22">
        <v>0</v>
      </c>
      <c r="D84" s="22">
        <v>0</v>
      </c>
      <c r="E84" s="22">
        <v>1</v>
      </c>
      <c r="F84" s="22">
        <v>27</v>
      </c>
      <c r="G84" s="22">
        <v>55</v>
      </c>
      <c r="H84" s="22">
        <v>119</v>
      </c>
      <c r="I84" s="26">
        <v>208</v>
      </c>
    </row>
    <row r="85" spans="1:9" x14ac:dyDescent="0.25">
      <c r="A85" s="20">
        <v>2</v>
      </c>
      <c r="B85" s="27">
        <v>44939</v>
      </c>
      <c r="C85" s="23">
        <v>0</v>
      </c>
      <c r="D85" s="23">
        <v>0</v>
      </c>
      <c r="E85" s="23">
        <v>7</v>
      </c>
      <c r="F85" s="23">
        <v>37</v>
      </c>
      <c r="G85" s="23">
        <v>51</v>
      </c>
      <c r="H85" s="23">
        <v>117</v>
      </c>
      <c r="I85" s="28">
        <v>290</v>
      </c>
    </row>
    <row r="86" spans="1:9" x14ac:dyDescent="0.25">
      <c r="A86" s="20">
        <v>3</v>
      </c>
      <c r="B86" s="27">
        <v>44946</v>
      </c>
      <c r="C86" s="23">
        <v>0</v>
      </c>
      <c r="D86" s="23">
        <v>0</v>
      </c>
      <c r="E86" s="23">
        <v>7</v>
      </c>
      <c r="F86" s="23">
        <v>30</v>
      </c>
      <c r="G86" s="23">
        <v>43</v>
      </c>
      <c r="H86" s="23">
        <v>114</v>
      </c>
      <c r="I86" s="28">
        <v>246</v>
      </c>
    </row>
    <row r="87" spans="1:9" x14ac:dyDescent="0.25">
      <c r="A87" s="20">
        <v>4</v>
      </c>
      <c r="B87" s="27">
        <v>44953</v>
      </c>
      <c r="C87" s="23">
        <v>0</v>
      </c>
      <c r="D87" s="23">
        <v>1</v>
      </c>
      <c r="E87" s="23">
        <v>3</v>
      </c>
      <c r="F87" s="23">
        <v>14</v>
      </c>
      <c r="G87" s="23">
        <v>31</v>
      </c>
      <c r="H87" s="23">
        <v>89</v>
      </c>
      <c r="I87" s="28">
        <v>175</v>
      </c>
    </row>
    <row r="88" spans="1:9" x14ac:dyDescent="0.25">
      <c r="A88" s="20">
        <v>5</v>
      </c>
      <c r="B88" s="27">
        <v>44960</v>
      </c>
      <c r="C88" s="23">
        <v>0</v>
      </c>
      <c r="D88" s="23">
        <v>0</v>
      </c>
      <c r="E88" s="23">
        <v>5</v>
      </c>
      <c r="F88" s="23">
        <v>19</v>
      </c>
      <c r="G88" s="23">
        <v>25</v>
      </c>
      <c r="H88" s="23">
        <v>72</v>
      </c>
      <c r="I88" s="28">
        <v>135</v>
      </c>
    </row>
    <row r="89" spans="1:9" x14ac:dyDescent="0.25">
      <c r="A89" s="20">
        <v>6</v>
      </c>
      <c r="B89" s="27">
        <v>44967</v>
      </c>
      <c r="C89" s="23">
        <v>0</v>
      </c>
      <c r="D89" s="23">
        <v>0</v>
      </c>
      <c r="E89" s="23">
        <v>2</v>
      </c>
      <c r="F89" s="23">
        <v>9</v>
      </c>
      <c r="G89" s="23">
        <v>30</v>
      </c>
      <c r="H89" s="23">
        <v>66</v>
      </c>
      <c r="I89" s="28">
        <v>129</v>
      </c>
    </row>
    <row r="90" spans="1:9" x14ac:dyDescent="0.25">
      <c r="A90" s="20">
        <v>7</v>
      </c>
      <c r="B90" s="27">
        <v>44974</v>
      </c>
      <c r="C90" s="23">
        <v>0</v>
      </c>
      <c r="D90" s="23">
        <v>0</v>
      </c>
      <c r="E90" s="23">
        <v>2</v>
      </c>
      <c r="F90" s="23">
        <v>15</v>
      </c>
      <c r="G90" s="23">
        <v>24</v>
      </c>
      <c r="H90" s="23">
        <v>65</v>
      </c>
      <c r="I90" s="28">
        <v>117</v>
      </c>
    </row>
    <row r="91" spans="1:9" x14ac:dyDescent="0.25">
      <c r="A91" s="20">
        <v>8</v>
      </c>
      <c r="B91" s="27">
        <v>44981</v>
      </c>
      <c r="C91" s="23">
        <v>0</v>
      </c>
      <c r="D91" s="23">
        <v>0</v>
      </c>
      <c r="E91" s="23">
        <v>4</v>
      </c>
      <c r="F91" s="23">
        <v>17</v>
      </c>
      <c r="G91" s="23">
        <v>28</v>
      </c>
      <c r="H91" s="23">
        <v>62</v>
      </c>
      <c r="I91" s="28">
        <v>125</v>
      </c>
    </row>
    <row r="92" spans="1:9" x14ac:dyDescent="0.25">
      <c r="A92" s="20">
        <v>9</v>
      </c>
      <c r="B92" s="27">
        <v>44988</v>
      </c>
      <c r="C92" s="23">
        <v>0</v>
      </c>
      <c r="D92" s="23">
        <v>0</v>
      </c>
      <c r="E92" s="23">
        <v>2</v>
      </c>
      <c r="F92" s="23">
        <v>11</v>
      </c>
      <c r="G92" s="23">
        <v>36</v>
      </c>
      <c r="H92" s="23">
        <v>90</v>
      </c>
      <c r="I92" s="28">
        <v>141</v>
      </c>
    </row>
    <row r="93" spans="1:9" x14ac:dyDescent="0.25">
      <c r="A93" s="20">
        <v>10</v>
      </c>
      <c r="B93" s="27">
        <v>44995</v>
      </c>
      <c r="C93" s="23">
        <v>0</v>
      </c>
      <c r="D93" s="23">
        <v>1</v>
      </c>
      <c r="E93" s="23">
        <v>1</v>
      </c>
      <c r="F93" s="23">
        <v>14</v>
      </c>
      <c r="G93" s="23">
        <v>28</v>
      </c>
      <c r="H93" s="23">
        <v>83</v>
      </c>
      <c r="I93" s="28">
        <v>158</v>
      </c>
    </row>
    <row r="94" spans="1:9" x14ac:dyDescent="0.25">
      <c r="A94" s="20">
        <v>11</v>
      </c>
      <c r="B94" s="27">
        <v>45002</v>
      </c>
      <c r="C94" s="23">
        <v>0</v>
      </c>
      <c r="D94" s="23">
        <v>0</v>
      </c>
      <c r="E94" s="23">
        <v>1</v>
      </c>
      <c r="F94" s="23">
        <v>14</v>
      </c>
      <c r="G94" s="23">
        <v>34</v>
      </c>
      <c r="H94" s="23">
        <v>99</v>
      </c>
      <c r="I94" s="28">
        <v>151</v>
      </c>
    </row>
    <row r="95" spans="1:9" x14ac:dyDescent="0.25">
      <c r="A95" s="20">
        <v>12</v>
      </c>
      <c r="B95" s="27">
        <v>45009</v>
      </c>
      <c r="C95" s="23">
        <v>0</v>
      </c>
      <c r="D95" s="23">
        <v>0</v>
      </c>
      <c r="E95" s="23">
        <v>3</v>
      </c>
      <c r="F95" s="23">
        <v>24</v>
      </c>
      <c r="G95" s="23">
        <v>44</v>
      </c>
      <c r="H95" s="23">
        <v>96</v>
      </c>
      <c r="I95" s="28">
        <v>188</v>
      </c>
    </row>
    <row r="96" spans="1:9" x14ac:dyDescent="0.25">
      <c r="A96" s="20">
        <v>13</v>
      </c>
      <c r="B96" s="27">
        <v>45016</v>
      </c>
      <c r="C96" s="23">
        <v>0</v>
      </c>
      <c r="D96" s="23">
        <v>0</v>
      </c>
      <c r="E96" s="23">
        <v>0</v>
      </c>
      <c r="F96" s="23">
        <v>29</v>
      </c>
      <c r="G96" s="23">
        <v>41</v>
      </c>
      <c r="H96" s="23">
        <v>106</v>
      </c>
      <c r="I96" s="28">
        <v>191</v>
      </c>
    </row>
    <row r="97" spans="1:9" x14ac:dyDescent="0.25">
      <c r="A97" s="20">
        <v>14</v>
      </c>
      <c r="B97" s="27">
        <v>45023</v>
      </c>
      <c r="C97" s="23">
        <v>0</v>
      </c>
      <c r="D97" s="23">
        <v>0</v>
      </c>
      <c r="E97" s="23">
        <v>1</v>
      </c>
      <c r="F97" s="23">
        <v>17</v>
      </c>
      <c r="G97" s="23">
        <v>32</v>
      </c>
      <c r="H97" s="23">
        <v>90</v>
      </c>
      <c r="I97" s="28">
        <v>152</v>
      </c>
    </row>
    <row r="98" spans="1:9" x14ac:dyDescent="0.25">
      <c r="A98" s="20">
        <v>15</v>
      </c>
      <c r="B98" s="27">
        <v>45030</v>
      </c>
      <c r="C98" s="23">
        <v>0</v>
      </c>
      <c r="D98" s="23">
        <v>0</v>
      </c>
      <c r="E98" s="23">
        <v>0</v>
      </c>
      <c r="F98" s="23">
        <v>15</v>
      </c>
      <c r="G98" s="23">
        <v>34</v>
      </c>
      <c r="H98" s="23">
        <v>73</v>
      </c>
      <c r="I98" s="28">
        <v>120</v>
      </c>
    </row>
    <row r="99" spans="1:9" x14ac:dyDescent="0.25">
      <c r="A99" s="20">
        <v>16</v>
      </c>
      <c r="B99" s="27">
        <v>45037</v>
      </c>
      <c r="C99" s="23">
        <v>0</v>
      </c>
      <c r="D99" s="23">
        <v>0</v>
      </c>
      <c r="E99" s="23">
        <v>4</v>
      </c>
      <c r="F99" s="23">
        <v>22</v>
      </c>
      <c r="G99" s="23">
        <v>36</v>
      </c>
      <c r="H99" s="23">
        <v>76</v>
      </c>
      <c r="I99" s="28">
        <v>130</v>
      </c>
    </row>
    <row r="100" spans="1:9" x14ac:dyDescent="0.25">
      <c r="A100" s="20">
        <v>17</v>
      </c>
      <c r="B100" s="27">
        <v>45044</v>
      </c>
      <c r="C100" s="23">
        <v>0</v>
      </c>
      <c r="D100" s="23">
        <v>0</v>
      </c>
      <c r="E100" s="23">
        <v>5</v>
      </c>
      <c r="F100" s="23">
        <v>16</v>
      </c>
      <c r="G100" s="23">
        <v>28</v>
      </c>
      <c r="H100" s="23">
        <v>81</v>
      </c>
      <c r="I100" s="28">
        <v>124</v>
      </c>
    </row>
    <row r="101" spans="1:9" x14ac:dyDescent="0.25">
      <c r="A101" s="20">
        <v>18</v>
      </c>
      <c r="B101" s="27">
        <v>45051</v>
      </c>
      <c r="C101" s="23">
        <v>1</v>
      </c>
      <c r="D101" s="23">
        <v>0</v>
      </c>
      <c r="E101" s="23">
        <v>2</v>
      </c>
      <c r="F101" s="23">
        <v>11</v>
      </c>
      <c r="G101" s="23">
        <v>16</v>
      </c>
      <c r="H101" s="23">
        <v>48</v>
      </c>
      <c r="I101" s="28">
        <v>86</v>
      </c>
    </row>
    <row r="102" spans="1:9" x14ac:dyDescent="0.25">
      <c r="A102" s="20">
        <v>19</v>
      </c>
      <c r="B102" s="27">
        <v>45058</v>
      </c>
      <c r="C102" s="23">
        <v>0</v>
      </c>
      <c r="D102" s="23">
        <v>0</v>
      </c>
      <c r="E102" s="23">
        <v>1</v>
      </c>
      <c r="F102" s="23">
        <v>8</v>
      </c>
      <c r="G102" s="23">
        <v>20</v>
      </c>
      <c r="H102" s="23">
        <v>44</v>
      </c>
      <c r="I102" s="28">
        <v>79</v>
      </c>
    </row>
    <row r="103" spans="1:9" x14ac:dyDescent="0.25">
      <c r="A103" s="20">
        <v>20</v>
      </c>
      <c r="B103" s="27">
        <v>45065</v>
      </c>
      <c r="C103" s="23">
        <v>0</v>
      </c>
      <c r="D103" s="23">
        <v>0</v>
      </c>
      <c r="E103" s="23">
        <v>1</v>
      </c>
      <c r="F103" s="23">
        <v>6</v>
      </c>
      <c r="G103" s="23">
        <v>22</v>
      </c>
      <c r="H103" s="23">
        <v>46</v>
      </c>
      <c r="I103" s="28">
        <v>85</v>
      </c>
    </row>
    <row r="104" spans="1:9" x14ac:dyDescent="0.25">
      <c r="A104" s="20">
        <v>21</v>
      </c>
      <c r="B104" s="27">
        <v>45072</v>
      </c>
      <c r="C104" s="23">
        <v>0</v>
      </c>
      <c r="D104" s="23">
        <v>0</v>
      </c>
      <c r="E104" s="23">
        <v>0</v>
      </c>
      <c r="F104" s="23">
        <v>8</v>
      </c>
      <c r="G104" s="23">
        <v>19</v>
      </c>
      <c r="H104" s="23">
        <v>33</v>
      </c>
      <c r="I104" s="28">
        <v>52</v>
      </c>
    </row>
    <row r="105" spans="1:9" x14ac:dyDescent="0.25">
      <c r="A105" s="20">
        <v>22</v>
      </c>
      <c r="B105" s="27">
        <v>45079</v>
      </c>
      <c r="C105" s="23">
        <v>0</v>
      </c>
      <c r="D105" s="23">
        <v>1</v>
      </c>
      <c r="E105" s="23">
        <v>0</v>
      </c>
      <c r="F105" s="23">
        <v>4</v>
      </c>
      <c r="G105" s="23">
        <v>11</v>
      </c>
      <c r="H105" s="23">
        <v>38</v>
      </c>
      <c r="I105" s="28">
        <v>37</v>
      </c>
    </row>
    <row r="106" spans="1:9" x14ac:dyDescent="0.25">
      <c r="A106" s="20">
        <v>23</v>
      </c>
      <c r="B106" s="27">
        <v>45086</v>
      </c>
      <c r="C106" s="23">
        <v>0</v>
      </c>
      <c r="D106" s="23">
        <v>0</v>
      </c>
      <c r="E106" s="23">
        <v>0</v>
      </c>
      <c r="F106" s="23">
        <v>5</v>
      </c>
      <c r="G106" s="23">
        <v>10</v>
      </c>
      <c r="H106" s="23">
        <v>34</v>
      </c>
      <c r="I106" s="28">
        <v>48</v>
      </c>
    </row>
    <row r="107" spans="1:9" x14ac:dyDescent="0.25">
      <c r="A107" s="20">
        <v>24</v>
      </c>
      <c r="B107" s="27">
        <v>45093</v>
      </c>
      <c r="C107" s="23">
        <v>1</v>
      </c>
      <c r="D107" s="23">
        <v>0</v>
      </c>
      <c r="E107" s="23">
        <v>3</v>
      </c>
      <c r="F107" s="23">
        <v>2</v>
      </c>
      <c r="G107" s="23">
        <v>10</v>
      </c>
      <c r="H107" s="23">
        <v>22</v>
      </c>
      <c r="I107" s="28">
        <v>33</v>
      </c>
    </row>
    <row r="108" spans="1:9" x14ac:dyDescent="0.25">
      <c r="A108" s="20">
        <v>25</v>
      </c>
      <c r="B108" s="27">
        <v>45100</v>
      </c>
      <c r="C108" s="23">
        <v>0</v>
      </c>
      <c r="D108" s="23">
        <v>0</v>
      </c>
      <c r="E108" s="23">
        <v>0</v>
      </c>
      <c r="F108" s="23">
        <v>4</v>
      </c>
      <c r="G108" s="23">
        <v>14</v>
      </c>
      <c r="H108" s="23">
        <v>23</v>
      </c>
      <c r="I108" s="28">
        <v>39</v>
      </c>
    </row>
    <row r="109" spans="1:9" x14ac:dyDescent="0.25">
      <c r="A109" s="20">
        <v>26</v>
      </c>
      <c r="B109" s="27">
        <v>45107</v>
      </c>
      <c r="C109" s="23">
        <v>0</v>
      </c>
      <c r="D109" s="23">
        <v>0</v>
      </c>
      <c r="E109" s="23">
        <v>0</v>
      </c>
      <c r="F109" s="23">
        <v>6</v>
      </c>
      <c r="G109" s="23">
        <v>7</v>
      </c>
      <c r="H109" s="23">
        <v>15</v>
      </c>
      <c r="I109" s="28">
        <v>36</v>
      </c>
    </row>
    <row r="110" spans="1:9" x14ac:dyDescent="0.25">
      <c r="A110" s="20">
        <v>27</v>
      </c>
      <c r="B110" s="27">
        <v>45114</v>
      </c>
      <c r="C110" s="23">
        <v>0</v>
      </c>
      <c r="D110" s="23">
        <v>0</v>
      </c>
      <c r="E110" s="23">
        <v>1</v>
      </c>
      <c r="F110" s="23">
        <v>3</v>
      </c>
      <c r="G110" s="23">
        <v>8</v>
      </c>
      <c r="H110" s="23">
        <v>16</v>
      </c>
      <c r="I110" s="28">
        <v>20</v>
      </c>
    </row>
    <row r="111" spans="1:9" x14ac:dyDescent="0.25">
      <c r="A111" s="20">
        <v>28</v>
      </c>
      <c r="B111" s="27">
        <v>45121</v>
      </c>
      <c r="C111" s="23">
        <v>0</v>
      </c>
      <c r="D111" s="23">
        <v>0</v>
      </c>
      <c r="E111" s="23">
        <v>0</v>
      </c>
      <c r="F111" s="23">
        <v>2</v>
      </c>
      <c r="G111" s="23">
        <v>1</v>
      </c>
      <c r="H111" s="23">
        <v>12</v>
      </c>
      <c r="I111" s="28">
        <v>14</v>
      </c>
    </row>
    <row r="112" spans="1:9" x14ac:dyDescent="0.25">
      <c r="A112" s="20">
        <v>29</v>
      </c>
      <c r="B112" s="27">
        <v>45128</v>
      </c>
      <c r="C112" s="23">
        <v>0</v>
      </c>
      <c r="D112" s="23">
        <v>0</v>
      </c>
      <c r="E112" s="23">
        <v>1</v>
      </c>
      <c r="F112" s="23">
        <v>2</v>
      </c>
      <c r="G112" s="23">
        <v>6</v>
      </c>
      <c r="H112" s="23">
        <v>12</v>
      </c>
      <c r="I112" s="28">
        <v>16</v>
      </c>
    </row>
    <row r="113" spans="1:9" x14ac:dyDescent="0.25">
      <c r="A113" s="20">
        <v>30</v>
      </c>
      <c r="B113" s="27">
        <v>45135</v>
      </c>
      <c r="C113" s="23">
        <v>0</v>
      </c>
      <c r="D113" s="23">
        <v>0</v>
      </c>
      <c r="E113" s="23">
        <v>0</v>
      </c>
      <c r="F113" s="23">
        <v>6</v>
      </c>
      <c r="G113" s="23">
        <v>3</v>
      </c>
      <c r="H113" s="23">
        <v>9</v>
      </c>
      <c r="I113" s="28">
        <v>10</v>
      </c>
    </row>
    <row r="114" spans="1:9" x14ac:dyDescent="0.25">
      <c r="A114" s="20">
        <v>31</v>
      </c>
      <c r="B114" s="27">
        <v>45142</v>
      </c>
      <c r="C114" s="23">
        <v>0</v>
      </c>
      <c r="D114" s="23">
        <v>0</v>
      </c>
      <c r="E114" s="23">
        <v>0</v>
      </c>
      <c r="F114" s="23">
        <v>3</v>
      </c>
      <c r="G114" s="23">
        <v>4</v>
      </c>
      <c r="H114" s="23">
        <v>9</v>
      </c>
      <c r="I114" s="28">
        <v>19</v>
      </c>
    </row>
    <row r="115" spans="1:9" x14ac:dyDescent="0.25">
      <c r="A115" s="20">
        <v>32</v>
      </c>
      <c r="B115" s="27">
        <v>45149</v>
      </c>
      <c r="C115" s="23">
        <v>0</v>
      </c>
      <c r="D115" s="23">
        <v>0</v>
      </c>
      <c r="E115" s="23">
        <v>0</v>
      </c>
      <c r="F115" s="23">
        <v>8</v>
      </c>
      <c r="G115" s="23">
        <v>4</v>
      </c>
      <c r="H115" s="23">
        <v>12</v>
      </c>
      <c r="I115" s="28">
        <v>20</v>
      </c>
    </row>
    <row r="116" spans="1:9" x14ac:dyDescent="0.25">
      <c r="A116" s="20">
        <v>33</v>
      </c>
      <c r="B116" s="27">
        <v>45156</v>
      </c>
      <c r="C116" s="23">
        <v>0</v>
      </c>
      <c r="D116" s="23">
        <v>0</v>
      </c>
      <c r="E116" s="23">
        <v>0</v>
      </c>
      <c r="F116" s="23">
        <v>3</v>
      </c>
      <c r="G116" s="23">
        <v>8</v>
      </c>
      <c r="H116" s="23">
        <v>20</v>
      </c>
      <c r="I116" s="28">
        <v>34</v>
      </c>
    </row>
    <row r="117" spans="1:9" x14ac:dyDescent="0.25">
      <c r="A117" s="20">
        <v>34</v>
      </c>
      <c r="B117" s="27">
        <v>45163</v>
      </c>
      <c r="C117" s="23">
        <v>0</v>
      </c>
      <c r="D117" s="23">
        <v>0</v>
      </c>
      <c r="E117" s="23">
        <v>0</v>
      </c>
      <c r="F117" s="23">
        <v>3</v>
      </c>
      <c r="G117" s="23">
        <v>22</v>
      </c>
      <c r="H117" s="23">
        <v>24</v>
      </c>
      <c r="I117" s="28">
        <v>39</v>
      </c>
    </row>
    <row r="118" spans="1:9" x14ac:dyDescent="0.25">
      <c r="A118" s="20">
        <v>35</v>
      </c>
      <c r="B118" s="27">
        <v>45170</v>
      </c>
      <c r="C118" s="23">
        <v>0</v>
      </c>
      <c r="D118" s="23">
        <v>0</v>
      </c>
      <c r="E118" s="23">
        <v>0</v>
      </c>
      <c r="F118" s="23">
        <v>4</v>
      </c>
      <c r="G118" s="23">
        <v>9</v>
      </c>
      <c r="H118" s="23">
        <v>30</v>
      </c>
      <c r="I118" s="28">
        <v>28</v>
      </c>
    </row>
    <row r="119" spans="1:9" x14ac:dyDescent="0.25">
      <c r="A119" s="10"/>
      <c r="B119" s="10"/>
      <c r="C119" s="10"/>
      <c r="D119" s="10"/>
      <c r="E119" s="10"/>
      <c r="F119" s="10"/>
      <c r="G119" s="10"/>
      <c r="H119" s="10"/>
      <c r="I119" s="10"/>
    </row>
  </sheetData>
  <sheetProtection sheet="1" formatCells="0" formatColumns="0"/>
  <pageMargins left="0.7" right="0.7" top="0.75" bottom="0.75" header="0.3" footer="0.3"/>
  <pageSetup paperSize="9" orientation="portrait" horizontalDpi="300" verticalDpi="300"/>
  <tableParts count="3">
    <tablePart r:id="rId1"/>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612"/>
  <sheetViews>
    <sheetView showGridLines="0" workbookViewId="0"/>
  </sheetViews>
  <sheetFormatPr defaultColWidth="10.90625" defaultRowHeight="15" x14ac:dyDescent="0.25"/>
  <sheetData>
    <row r="1" spans="1:16" ht="17.399999999999999" x14ac:dyDescent="0.3">
      <c r="A1" s="1" t="s">
        <v>192</v>
      </c>
    </row>
    <row r="2" spans="1:16" ht="17.399999999999999" x14ac:dyDescent="0.3">
      <c r="A2" s="1" t="s">
        <v>193</v>
      </c>
    </row>
    <row r="3" spans="1:16" x14ac:dyDescent="0.25">
      <c r="A3" t="s">
        <v>45</v>
      </c>
    </row>
    <row r="4" spans="1:16" x14ac:dyDescent="0.25">
      <c r="A4" t="s">
        <v>114</v>
      </c>
    </row>
    <row r="5" spans="1:16" x14ac:dyDescent="0.25">
      <c r="A5" t="s">
        <v>115</v>
      </c>
    </row>
    <row r="6" spans="1:16" ht="46.8" x14ac:dyDescent="0.25">
      <c r="A6" s="11" t="s">
        <v>194</v>
      </c>
      <c r="B6" s="21" t="s">
        <v>195</v>
      </c>
      <c r="C6" s="21" t="s">
        <v>176</v>
      </c>
      <c r="D6" s="21" t="s">
        <v>177</v>
      </c>
      <c r="E6" s="21" t="s">
        <v>178</v>
      </c>
      <c r="F6" s="21" t="s">
        <v>179</v>
      </c>
      <c r="G6" s="21" t="s">
        <v>180</v>
      </c>
      <c r="H6" s="21" t="s">
        <v>196</v>
      </c>
      <c r="I6" s="21" t="s">
        <v>197</v>
      </c>
      <c r="J6" s="21" t="s">
        <v>198</v>
      </c>
      <c r="K6" s="21" t="s">
        <v>199</v>
      </c>
      <c r="L6" s="21" t="s">
        <v>200</v>
      </c>
      <c r="M6" s="21" t="s">
        <v>201</v>
      </c>
      <c r="N6" s="21" t="s">
        <v>202</v>
      </c>
      <c r="O6" s="21" t="s">
        <v>203</v>
      </c>
      <c r="P6" s="24" t="s">
        <v>204</v>
      </c>
    </row>
    <row r="7" spans="1:16" x14ac:dyDescent="0.25">
      <c r="A7" s="25">
        <v>44562</v>
      </c>
      <c r="B7" s="22">
        <v>2</v>
      </c>
      <c r="C7" s="22">
        <v>2</v>
      </c>
      <c r="D7" s="22">
        <v>2</v>
      </c>
      <c r="E7" s="22">
        <v>0</v>
      </c>
      <c r="F7" s="22">
        <v>0</v>
      </c>
      <c r="G7" s="22">
        <v>0</v>
      </c>
      <c r="H7" s="22">
        <v>0</v>
      </c>
      <c r="I7" s="22">
        <v>0</v>
      </c>
      <c r="J7" s="22">
        <v>0</v>
      </c>
      <c r="K7" s="22">
        <v>0</v>
      </c>
      <c r="L7" s="22">
        <v>0</v>
      </c>
      <c r="M7" s="22">
        <v>1</v>
      </c>
      <c r="N7" s="22">
        <v>1</v>
      </c>
      <c r="O7" s="22">
        <v>0</v>
      </c>
      <c r="P7" s="26">
        <v>0</v>
      </c>
    </row>
    <row r="8" spans="1:16" x14ac:dyDescent="0.25">
      <c r="A8" s="27">
        <v>44563</v>
      </c>
      <c r="B8" s="23">
        <v>4</v>
      </c>
      <c r="C8" s="23">
        <v>4</v>
      </c>
      <c r="D8" s="23">
        <v>4</v>
      </c>
      <c r="E8" s="23">
        <v>0</v>
      </c>
      <c r="F8" s="23">
        <v>0</v>
      </c>
      <c r="G8" s="23">
        <v>0</v>
      </c>
      <c r="H8" s="23">
        <v>0</v>
      </c>
      <c r="I8" s="23">
        <v>1</v>
      </c>
      <c r="J8" s="23">
        <v>0</v>
      </c>
      <c r="K8" s="23">
        <v>1</v>
      </c>
      <c r="L8" s="23">
        <v>0</v>
      </c>
      <c r="M8" s="23">
        <v>0</v>
      </c>
      <c r="N8" s="23">
        <v>2</v>
      </c>
      <c r="O8" s="23">
        <v>0</v>
      </c>
      <c r="P8" s="28">
        <v>0</v>
      </c>
    </row>
    <row r="9" spans="1:16" x14ac:dyDescent="0.25">
      <c r="A9" s="27">
        <v>44564</v>
      </c>
      <c r="B9" s="23">
        <v>8</v>
      </c>
      <c r="C9" s="23">
        <v>7</v>
      </c>
      <c r="D9" s="23">
        <v>7</v>
      </c>
      <c r="E9" s="23">
        <v>0</v>
      </c>
      <c r="F9" s="23">
        <v>0</v>
      </c>
      <c r="G9" s="23">
        <v>1</v>
      </c>
      <c r="H9" s="23">
        <v>0</v>
      </c>
      <c r="I9" s="23">
        <v>0</v>
      </c>
      <c r="J9" s="23">
        <v>0</v>
      </c>
      <c r="K9" s="23">
        <v>1</v>
      </c>
      <c r="L9" s="23">
        <v>1</v>
      </c>
      <c r="M9" s="23">
        <v>4</v>
      </c>
      <c r="N9" s="23">
        <v>1</v>
      </c>
      <c r="O9" s="23">
        <v>0</v>
      </c>
      <c r="P9" s="28">
        <v>0</v>
      </c>
    </row>
    <row r="10" spans="1:16" x14ac:dyDescent="0.25">
      <c r="A10" s="27">
        <v>44565</v>
      </c>
      <c r="B10" s="23">
        <v>220</v>
      </c>
      <c r="C10" s="23">
        <v>203</v>
      </c>
      <c r="D10" s="23">
        <v>195</v>
      </c>
      <c r="E10" s="23">
        <v>7</v>
      </c>
      <c r="F10" s="23">
        <v>8</v>
      </c>
      <c r="G10" s="23">
        <v>9</v>
      </c>
      <c r="H10" s="23">
        <v>12</v>
      </c>
      <c r="I10" s="23">
        <v>34</v>
      </c>
      <c r="J10" s="23">
        <v>16</v>
      </c>
      <c r="K10" s="23">
        <v>18</v>
      </c>
      <c r="L10" s="23">
        <v>16</v>
      </c>
      <c r="M10" s="23">
        <v>22</v>
      </c>
      <c r="N10" s="23">
        <v>31</v>
      </c>
      <c r="O10" s="23">
        <v>26</v>
      </c>
      <c r="P10" s="28">
        <v>20</v>
      </c>
    </row>
    <row r="11" spans="1:16" x14ac:dyDescent="0.25">
      <c r="A11" s="27">
        <v>44566</v>
      </c>
      <c r="B11" s="23">
        <v>231</v>
      </c>
      <c r="C11" s="23">
        <v>197</v>
      </c>
      <c r="D11" s="23">
        <v>183</v>
      </c>
      <c r="E11" s="23">
        <v>13</v>
      </c>
      <c r="F11" s="23">
        <v>24</v>
      </c>
      <c r="G11" s="23">
        <v>10</v>
      </c>
      <c r="H11" s="23">
        <v>13</v>
      </c>
      <c r="I11" s="23">
        <v>30</v>
      </c>
      <c r="J11" s="23">
        <v>17</v>
      </c>
      <c r="K11" s="23">
        <v>13</v>
      </c>
      <c r="L11" s="23">
        <v>12</v>
      </c>
      <c r="M11" s="23">
        <v>22</v>
      </c>
      <c r="N11" s="23">
        <v>34</v>
      </c>
      <c r="O11" s="23">
        <v>21</v>
      </c>
      <c r="P11" s="28">
        <v>21</v>
      </c>
    </row>
    <row r="12" spans="1:16" x14ac:dyDescent="0.25">
      <c r="A12" s="27">
        <v>44567</v>
      </c>
      <c r="B12" s="23">
        <v>270</v>
      </c>
      <c r="C12" s="23">
        <v>249</v>
      </c>
      <c r="D12" s="23">
        <v>228</v>
      </c>
      <c r="E12" s="23">
        <v>19</v>
      </c>
      <c r="F12" s="23">
        <v>15</v>
      </c>
      <c r="G12" s="23">
        <v>6</v>
      </c>
      <c r="H12" s="23">
        <v>10</v>
      </c>
      <c r="I12" s="23">
        <v>39</v>
      </c>
      <c r="J12" s="23">
        <v>18</v>
      </c>
      <c r="K12" s="23">
        <v>20</v>
      </c>
      <c r="L12" s="23">
        <v>22</v>
      </c>
      <c r="M12" s="23">
        <v>23</v>
      </c>
      <c r="N12" s="23">
        <v>56</v>
      </c>
      <c r="O12" s="23">
        <v>24</v>
      </c>
      <c r="P12" s="28">
        <v>16</v>
      </c>
    </row>
    <row r="13" spans="1:16" x14ac:dyDescent="0.25">
      <c r="A13" s="27">
        <v>44568</v>
      </c>
      <c r="B13" s="23">
        <v>285</v>
      </c>
      <c r="C13" s="23">
        <v>260</v>
      </c>
      <c r="D13" s="23">
        <v>238</v>
      </c>
      <c r="E13" s="23">
        <v>22</v>
      </c>
      <c r="F13" s="23">
        <v>22</v>
      </c>
      <c r="G13" s="23">
        <v>3</v>
      </c>
      <c r="H13" s="23">
        <v>6</v>
      </c>
      <c r="I13" s="23">
        <v>45</v>
      </c>
      <c r="J13" s="23">
        <v>20</v>
      </c>
      <c r="K13" s="23">
        <v>23</v>
      </c>
      <c r="L13" s="23">
        <v>23</v>
      </c>
      <c r="M13" s="23">
        <v>22</v>
      </c>
      <c r="N13" s="23">
        <v>46</v>
      </c>
      <c r="O13" s="23">
        <v>30</v>
      </c>
      <c r="P13" s="28">
        <v>23</v>
      </c>
    </row>
    <row r="14" spans="1:16" x14ac:dyDescent="0.25">
      <c r="A14" s="27">
        <v>44569</v>
      </c>
      <c r="B14" s="23">
        <v>35</v>
      </c>
      <c r="C14" s="23">
        <v>32</v>
      </c>
      <c r="D14" s="23">
        <v>30</v>
      </c>
      <c r="E14" s="23">
        <v>2</v>
      </c>
      <c r="F14" s="23">
        <v>3</v>
      </c>
      <c r="G14" s="23">
        <v>0</v>
      </c>
      <c r="H14" s="23">
        <v>2</v>
      </c>
      <c r="I14" s="23">
        <v>1</v>
      </c>
      <c r="J14" s="23">
        <v>1</v>
      </c>
      <c r="K14" s="23">
        <v>4</v>
      </c>
      <c r="L14" s="23">
        <v>7</v>
      </c>
      <c r="M14" s="23">
        <v>10</v>
      </c>
      <c r="N14" s="23">
        <v>4</v>
      </c>
      <c r="O14" s="23">
        <v>0</v>
      </c>
      <c r="P14" s="28">
        <v>1</v>
      </c>
    </row>
    <row r="15" spans="1:16" x14ac:dyDescent="0.25">
      <c r="A15" s="27">
        <v>44570</v>
      </c>
      <c r="B15" s="23">
        <v>3</v>
      </c>
      <c r="C15" s="23">
        <v>3</v>
      </c>
      <c r="D15" s="23">
        <v>3</v>
      </c>
      <c r="E15" s="23">
        <v>0</v>
      </c>
      <c r="F15" s="23">
        <v>0</v>
      </c>
      <c r="G15" s="23">
        <v>0</v>
      </c>
      <c r="H15" s="23">
        <v>0</v>
      </c>
      <c r="I15" s="23">
        <v>1</v>
      </c>
      <c r="J15" s="23">
        <v>0</v>
      </c>
      <c r="K15" s="23">
        <v>0</v>
      </c>
      <c r="L15" s="23">
        <v>0</v>
      </c>
      <c r="M15" s="23">
        <v>1</v>
      </c>
      <c r="N15" s="23">
        <v>0</v>
      </c>
      <c r="O15" s="23">
        <v>0</v>
      </c>
      <c r="P15" s="28">
        <v>1</v>
      </c>
    </row>
    <row r="16" spans="1:16" x14ac:dyDescent="0.25">
      <c r="A16" s="27">
        <v>44571</v>
      </c>
      <c r="B16" s="23">
        <v>261</v>
      </c>
      <c r="C16" s="23">
        <v>225</v>
      </c>
      <c r="D16" s="23">
        <v>207</v>
      </c>
      <c r="E16" s="23">
        <v>14</v>
      </c>
      <c r="F16" s="23">
        <v>25</v>
      </c>
      <c r="G16" s="23">
        <v>11</v>
      </c>
      <c r="H16" s="23">
        <v>10</v>
      </c>
      <c r="I16" s="23">
        <v>40</v>
      </c>
      <c r="J16" s="23">
        <v>8</v>
      </c>
      <c r="K16" s="23">
        <v>20</v>
      </c>
      <c r="L16" s="23">
        <v>22</v>
      </c>
      <c r="M16" s="23">
        <v>15</v>
      </c>
      <c r="N16" s="23">
        <v>52</v>
      </c>
      <c r="O16" s="23">
        <v>26</v>
      </c>
      <c r="P16" s="28">
        <v>14</v>
      </c>
    </row>
    <row r="17" spans="1:16" x14ac:dyDescent="0.25">
      <c r="A17" s="27">
        <v>44572</v>
      </c>
      <c r="B17" s="23">
        <v>314</v>
      </c>
      <c r="C17" s="23">
        <v>283</v>
      </c>
      <c r="D17" s="23">
        <v>270</v>
      </c>
      <c r="E17" s="23">
        <v>12</v>
      </c>
      <c r="F17" s="23">
        <v>19</v>
      </c>
      <c r="G17" s="23">
        <v>12</v>
      </c>
      <c r="H17" s="23">
        <v>16</v>
      </c>
      <c r="I17" s="23">
        <v>45</v>
      </c>
      <c r="J17" s="23">
        <v>18</v>
      </c>
      <c r="K17" s="23">
        <v>33</v>
      </c>
      <c r="L17" s="23">
        <v>30</v>
      </c>
      <c r="M17" s="23">
        <v>29</v>
      </c>
      <c r="N17" s="23">
        <v>49</v>
      </c>
      <c r="O17" s="23">
        <v>25</v>
      </c>
      <c r="P17" s="28">
        <v>25</v>
      </c>
    </row>
    <row r="18" spans="1:16" x14ac:dyDescent="0.25">
      <c r="A18" s="27">
        <v>44573</v>
      </c>
      <c r="B18" s="23">
        <v>303</v>
      </c>
      <c r="C18" s="23">
        <v>273</v>
      </c>
      <c r="D18" s="23">
        <v>260</v>
      </c>
      <c r="E18" s="23">
        <v>13</v>
      </c>
      <c r="F18" s="23">
        <v>26</v>
      </c>
      <c r="G18" s="23">
        <v>4</v>
      </c>
      <c r="H18" s="23">
        <v>8</v>
      </c>
      <c r="I18" s="23">
        <v>51</v>
      </c>
      <c r="J18" s="23">
        <v>25</v>
      </c>
      <c r="K18" s="23">
        <v>22</v>
      </c>
      <c r="L18" s="23">
        <v>33</v>
      </c>
      <c r="M18" s="23">
        <v>31</v>
      </c>
      <c r="N18" s="23">
        <v>46</v>
      </c>
      <c r="O18" s="23">
        <v>30</v>
      </c>
      <c r="P18" s="28">
        <v>14</v>
      </c>
    </row>
    <row r="19" spans="1:16" x14ac:dyDescent="0.25">
      <c r="A19" s="27">
        <v>44574</v>
      </c>
      <c r="B19" s="23">
        <v>313</v>
      </c>
      <c r="C19" s="23">
        <v>267</v>
      </c>
      <c r="D19" s="23">
        <v>256</v>
      </c>
      <c r="E19" s="23">
        <v>11</v>
      </c>
      <c r="F19" s="23">
        <v>41</v>
      </c>
      <c r="G19" s="23">
        <v>5</v>
      </c>
      <c r="H19" s="23">
        <v>11</v>
      </c>
      <c r="I19" s="23">
        <v>53</v>
      </c>
      <c r="J19" s="23">
        <v>19</v>
      </c>
      <c r="K19" s="23">
        <v>19</v>
      </c>
      <c r="L19" s="23">
        <v>29</v>
      </c>
      <c r="M19" s="23">
        <v>34</v>
      </c>
      <c r="N19" s="23">
        <v>50</v>
      </c>
      <c r="O19" s="23">
        <v>24</v>
      </c>
      <c r="P19" s="28">
        <v>17</v>
      </c>
    </row>
    <row r="20" spans="1:16" x14ac:dyDescent="0.25">
      <c r="A20" s="27">
        <v>44575</v>
      </c>
      <c r="B20" s="23">
        <v>334</v>
      </c>
      <c r="C20" s="23">
        <v>299</v>
      </c>
      <c r="D20" s="23">
        <v>282</v>
      </c>
      <c r="E20" s="23">
        <v>17</v>
      </c>
      <c r="F20" s="23">
        <v>24</v>
      </c>
      <c r="G20" s="23">
        <v>11</v>
      </c>
      <c r="H20" s="23">
        <v>24</v>
      </c>
      <c r="I20" s="23">
        <v>46</v>
      </c>
      <c r="J20" s="23">
        <v>37</v>
      </c>
      <c r="K20" s="23">
        <v>30</v>
      </c>
      <c r="L20" s="23">
        <v>23</v>
      </c>
      <c r="M20" s="23">
        <v>35</v>
      </c>
      <c r="N20" s="23">
        <v>42</v>
      </c>
      <c r="O20" s="23">
        <v>29</v>
      </c>
      <c r="P20" s="28">
        <v>16</v>
      </c>
    </row>
    <row r="21" spans="1:16" x14ac:dyDescent="0.25">
      <c r="A21" s="27">
        <v>44576</v>
      </c>
      <c r="B21" s="23">
        <v>25</v>
      </c>
      <c r="C21" s="23">
        <v>22</v>
      </c>
      <c r="D21" s="23">
        <v>22</v>
      </c>
      <c r="E21" s="23">
        <v>0</v>
      </c>
      <c r="F21" s="23">
        <v>3</v>
      </c>
      <c r="G21" s="23">
        <v>0</v>
      </c>
      <c r="H21" s="23">
        <v>1</v>
      </c>
      <c r="I21" s="23">
        <v>1</v>
      </c>
      <c r="J21" s="23">
        <v>5</v>
      </c>
      <c r="K21" s="23">
        <v>4</v>
      </c>
      <c r="L21" s="23">
        <v>4</v>
      </c>
      <c r="M21" s="23">
        <v>4</v>
      </c>
      <c r="N21" s="23">
        <v>1</v>
      </c>
      <c r="O21" s="23">
        <v>0</v>
      </c>
      <c r="P21" s="28">
        <v>2</v>
      </c>
    </row>
    <row r="22" spans="1:16" x14ac:dyDescent="0.25">
      <c r="A22" s="27">
        <v>44577</v>
      </c>
      <c r="B22" s="23">
        <v>4</v>
      </c>
      <c r="C22" s="23">
        <v>4</v>
      </c>
      <c r="D22" s="23">
        <v>4</v>
      </c>
      <c r="E22" s="23">
        <v>0</v>
      </c>
      <c r="F22" s="23">
        <v>0</v>
      </c>
      <c r="G22" s="23">
        <v>0</v>
      </c>
      <c r="H22" s="23">
        <v>0</v>
      </c>
      <c r="I22" s="23">
        <v>0</v>
      </c>
      <c r="J22" s="23">
        <v>0</v>
      </c>
      <c r="K22" s="23">
        <v>1</v>
      </c>
      <c r="L22" s="23">
        <v>0</v>
      </c>
      <c r="M22" s="23">
        <v>0</v>
      </c>
      <c r="N22" s="23">
        <v>3</v>
      </c>
      <c r="O22" s="23">
        <v>0</v>
      </c>
      <c r="P22" s="28">
        <v>0</v>
      </c>
    </row>
    <row r="23" spans="1:16" x14ac:dyDescent="0.25">
      <c r="A23" s="27">
        <v>44578</v>
      </c>
      <c r="B23" s="23">
        <v>303</v>
      </c>
      <c r="C23" s="23">
        <v>258</v>
      </c>
      <c r="D23" s="23">
        <v>245</v>
      </c>
      <c r="E23" s="23">
        <v>13</v>
      </c>
      <c r="F23" s="23">
        <v>36</v>
      </c>
      <c r="G23" s="23">
        <v>9</v>
      </c>
      <c r="H23" s="23">
        <v>9</v>
      </c>
      <c r="I23" s="23">
        <v>36</v>
      </c>
      <c r="J23" s="23">
        <v>35</v>
      </c>
      <c r="K23" s="23">
        <v>17</v>
      </c>
      <c r="L23" s="23">
        <v>32</v>
      </c>
      <c r="M23" s="23">
        <v>33</v>
      </c>
      <c r="N23" s="23">
        <v>44</v>
      </c>
      <c r="O23" s="23">
        <v>22</v>
      </c>
      <c r="P23" s="28">
        <v>17</v>
      </c>
    </row>
    <row r="24" spans="1:16" x14ac:dyDescent="0.25">
      <c r="A24" s="27">
        <v>44579</v>
      </c>
      <c r="B24" s="23">
        <v>374</v>
      </c>
      <c r="C24" s="23">
        <v>326</v>
      </c>
      <c r="D24" s="23">
        <v>303</v>
      </c>
      <c r="E24" s="23">
        <v>22</v>
      </c>
      <c r="F24" s="23">
        <v>34</v>
      </c>
      <c r="G24" s="23">
        <v>14</v>
      </c>
      <c r="H24" s="23">
        <v>18</v>
      </c>
      <c r="I24" s="23">
        <v>53</v>
      </c>
      <c r="J24" s="23">
        <v>33</v>
      </c>
      <c r="K24" s="23">
        <v>27</v>
      </c>
      <c r="L24" s="23">
        <v>35</v>
      </c>
      <c r="M24" s="23">
        <v>31</v>
      </c>
      <c r="N24" s="23">
        <v>47</v>
      </c>
      <c r="O24" s="23">
        <v>39</v>
      </c>
      <c r="P24" s="28">
        <v>20</v>
      </c>
    </row>
    <row r="25" spans="1:16" x14ac:dyDescent="0.25">
      <c r="A25" s="27">
        <v>44580</v>
      </c>
      <c r="B25" s="23">
        <v>337</v>
      </c>
      <c r="C25" s="23">
        <v>301</v>
      </c>
      <c r="D25" s="23">
        <v>282</v>
      </c>
      <c r="E25" s="23">
        <v>16</v>
      </c>
      <c r="F25" s="23">
        <v>33</v>
      </c>
      <c r="G25" s="23">
        <v>3</v>
      </c>
      <c r="H25" s="23">
        <v>15</v>
      </c>
      <c r="I25" s="23">
        <v>47</v>
      </c>
      <c r="J25" s="23">
        <v>30</v>
      </c>
      <c r="K25" s="23">
        <v>33</v>
      </c>
      <c r="L25" s="23">
        <v>28</v>
      </c>
      <c r="M25" s="23">
        <v>32</v>
      </c>
      <c r="N25" s="23">
        <v>44</v>
      </c>
      <c r="O25" s="23">
        <v>35</v>
      </c>
      <c r="P25" s="28">
        <v>18</v>
      </c>
    </row>
    <row r="26" spans="1:16" x14ac:dyDescent="0.25">
      <c r="A26" s="27">
        <v>44581</v>
      </c>
      <c r="B26" s="23">
        <v>329</v>
      </c>
      <c r="C26" s="23">
        <v>306</v>
      </c>
      <c r="D26" s="23">
        <v>280</v>
      </c>
      <c r="E26" s="23">
        <v>26</v>
      </c>
      <c r="F26" s="23">
        <v>14</v>
      </c>
      <c r="G26" s="23">
        <v>9</v>
      </c>
      <c r="H26" s="23">
        <v>21</v>
      </c>
      <c r="I26" s="23">
        <v>39</v>
      </c>
      <c r="J26" s="23">
        <v>19</v>
      </c>
      <c r="K26" s="23">
        <v>19</v>
      </c>
      <c r="L26" s="23">
        <v>38</v>
      </c>
      <c r="M26" s="23">
        <v>33</v>
      </c>
      <c r="N26" s="23">
        <v>55</v>
      </c>
      <c r="O26" s="23">
        <v>35</v>
      </c>
      <c r="P26" s="28">
        <v>21</v>
      </c>
    </row>
    <row r="27" spans="1:16" x14ac:dyDescent="0.25">
      <c r="A27" s="27">
        <v>44582</v>
      </c>
      <c r="B27" s="23">
        <v>300</v>
      </c>
      <c r="C27" s="23">
        <v>267</v>
      </c>
      <c r="D27" s="23">
        <v>242</v>
      </c>
      <c r="E27" s="23">
        <v>25</v>
      </c>
      <c r="F27" s="23">
        <v>25</v>
      </c>
      <c r="G27" s="23">
        <v>8</v>
      </c>
      <c r="H27" s="23">
        <v>18</v>
      </c>
      <c r="I27" s="23">
        <v>43</v>
      </c>
      <c r="J27" s="23">
        <v>25</v>
      </c>
      <c r="K27" s="23">
        <v>17</v>
      </c>
      <c r="L27" s="23">
        <v>29</v>
      </c>
      <c r="M27" s="23">
        <v>29</v>
      </c>
      <c r="N27" s="23">
        <v>38</v>
      </c>
      <c r="O27" s="23">
        <v>27</v>
      </c>
      <c r="P27" s="28">
        <v>16</v>
      </c>
    </row>
    <row r="28" spans="1:16" x14ac:dyDescent="0.25">
      <c r="A28" s="27">
        <v>44583</v>
      </c>
      <c r="B28" s="23">
        <v>41</v>
      </c>
      <c r="C28" s="23">
        <v>37</v>
      </c>
      <c r="D28" s="23">
        <v>34</v>
      </c>
      <c r="E28" s="23">
        <v>3</v>
      </c>
      <c r="F28" s="23">
        <v>4</v>
      </c>
      <c r="G28" s="23">
        <v>0</v>
      </c>
      <c r="H28" s="23">
        <v>0</v>
      </c>
      <c r="I28" s="23">
        <v>3</v>
      </c>
      <c r="J28" s="23">
        <v>5</v>
      </c>
      <c r="K28" s="23">
        <v>4</v>
      </c>
      <c r="L28" s="23">
        <v>12</v>
      </c>
      <c r="M28" s="23">
        <v>2</v>
      </c>
      <c r="N28" s="23">
        <v>4</v>
      </c>
      <c r="O28" s="23">
        <v>3</v>
      </c>
      <c r="P28" s="28">
        <v>1</v>
      </c>
    </row>
    <row r="29" spans="1:16" x14ac:dyDescent="0.25">
      <c r="A29" s="27">
        <v>44584</v>
      </c>
      <c r="B29" s="23">
        <v>5</v>
      </c>
      <c r="C29" s="23">
        <v>5</v>
      </c>
      <c r="D29" s="23">
        <v>5</v>
      </c>
      <c r="E29" s="23">
        <v>0</v>
      </c>
      <c r="F29" s="23">
        <v>0</v>
      </c>
      <c r="G29" s="23">
        <v>0</v>
      </c>
      <c r="H29" s="23">
        <v>0</v>
      </c>
      <c r="I29" s="23">
        <v>1</v>
      </c>
      <c r="J29" s="23">
        <v>0</v>
      </c>
      <c r="K29" s="23">
        <v>0</v>
      </c>
      <c r="L29" s="23">
        <v>0</v>
      </c>
      <c r="M29" s="23">
        <v>0</v>
      </c>
      <c r="N29" s="23">
        <v>4</v>
      </c>
      <c r="O29" s="23">
        <v>0</v>
      </c>
      <c r="P29" s="28">
        <v>0</v>
      </c>
    </row>
    <row r="30" spans="1:16" x14ac:dyDescent="0.25">
      <c r="A30" s="27">
        <v>44585</v>
      </c>
      <c r="B30" s="23">
        <v>270</v>
      </c>
      <c r="C30" s="23">
        <v>236</v>
      </c>
      <c r="D30" s="23">
        <v>224</v>
      </c>
      <c r="E30" s="23">
        <v>11</v>
      </c>
      <c r="F30" s="23">
        <v>27</v>
      </c>
      <c r="G30" s="23">
        <v>7</v>
      </c>
      <c r="H30" s="23">
        <v>20</v>
      </c>
      <c r="I30" s="23">
        <v>28</v>
      </c>
      <c r="J30" s="23">
        <v>30</v>
      </c>
      <c r="K30" s="23">
        <v>26</v>
      </c>
      <c r="L30" s="23">
        <v>30</v>
      </c>
      <c r="M30" s="23">
        <v>21</v>
      </c>
      <c r="N30" s="23">
        <v>27</v>
      </c>
      <c r="O30" s="23">
        <v>28</v>
      </c>
      <c r="P30" s="28">
        <v>14</v>
      </c>
    </row>
    <row r="31" spans="1:16" x14ac:dyDescent="0.25">
      <c r="A31" s="27">
        <v>44586</v>
      </c>
      <c r="B31" s="23">
        <v>350</v>
      </c>
      <c r="C31" s="23">
        <v>305</v>
      </c>
      <c r="D31" s="23">
        <v>294</v>
      </c>
      <c r="E31" s="23">
        <v>11</v>
      </c>
      <c r="F31" s="23">
        <v>32</v>
      </c>
      <c r="G31" s="23">
        <v>13</v>
      </c>
      <c r="H31" s="23">
        <v>16</v>
      </c>
      <c r="I31" s="23">
        <v>46</v>
      </c>
      <c r="J31" s="23">
        <v>34</v>
      </c>
      <c r="K31" s="23">
        <v>22</v>
      </c>
      <c r="L31" s="23">
        <v>30</v>
      </c>
      <c r="M31" s="23">
        <v>26</v>
      </c>
      <c r="N31" s="23">
        <v>52</v>
      </c>
      <c r="O31" s="23">
        <v>46</v>
      </c>
      <c r="P31" s="28">
        <v>22</v>
      </c>
    </row>
    <row r="32" spans="1:16" x14ac:dyDescent="0.25">
      <c r="A32" s="27">
        <v>44587</v>
      </c>
      <c r="B32" s="23">
        <v>335</v>
      </c>
      <c r="C32" s="23">
        <v>306</v>
      </c>
      <c r="D32" s="23">
        <v>291</v>
      </c>
      <c r="E32" s="23">
        <v>15</v>
      </c>
      <c r="F32" s="23">
        <v>21</v>
      </c>
      <c r="G32" s="23">
        <v>8</v>
      </c>
      <c r="H32" s="23">
        <v>20</v>
      </c>
      <c r="I32" s="23">
        <v>56</v>
      </c>
      <c r="J32" s="23">
        <v>33</v>
      </c>
      <c r="K32" s="23">
        <v>29</v>
      </c>
      <c r="L32" s="23">
        <v>33</v>
      </c>
      <c r="M32" s="23">
        <v>33</v>
      </c>
      <c r="N32" s="23">
        <v>38</v>
      </c>
      <c r="O32" s="23">
        <v>34</v>
      </c>
      <c r="P32" s="28">
        <v>15</v>
      </c>
    </row>
    <row r="33" spans="1:16" x14ac:dyDescent="0.25">
      <c r="A33" s="27">
        <v>44588</v>
      </c>
      <c r="B33" s="23">
        <v>264</v>
      </c>
      <c r="C33" s="23">
        <v>240</v>
      </c>
      <c r="D33" s="23">
        <v>230</v>
      </c>
      <c r="E33" s="23">
        <v>9</v>
      </c>
      <c r="F33" s="23">
        <v>18</v>
      </c>
      <c r="G33" s="23">
        <v>6</v>
      </c>
      <c r="H33" s="23">
        <v>15</v>
      </c>
      <c r="I33" s="23">
        <v>32</v>
      </c>
      <c r="J33" s="23">
        <v>37</v>
      </c>
      <c r="K33" s="23">
        <v>16</v>
      </c>
      <c r="L33" s="23">
        <v>22</v>
      </c>
      <c r="M33" s="23">
        <v>28</v>
      </c>
      <c r="N33" s="23">
        <v>37</v>
      </c>
      <c r="O33" s="23">
        <v>30</v>
      </c>
      <c r="P33" s="28">
        <v>13</v>
      </c>
    </row>
    <row r="34" spans="1:16" x14ac:dyDescent="0.25">
      <c r="A34" s="27">
        <v>44589</v>
      </c>
      <c r="B34" s="23">
        <v>282</v>
      </c>
      <c r="C34" s="23">
        <v>256</v>
      </c>
      <c r="D34" s="23">
        <v>245</v>
      </c>
      <c r="E34" s="23">
        <v>11</v>
      </c>
      <c r="F34" s="23">
        <v>22</v>
      </c>
      <c r="G34" s="23">
        <v>4</v>
      </c>
      <c r="H34" s="23">
        <v>24</v>
      </c>
      <c r="I34" s="23">
        <v>31</v>
      </c>
      <c r="J34" s="23">
        <v>25</v>
      </c>
      <c r="K34" s="23">
        <v>27</v>
      </c>
      <c r="L34" s="23">
        <v>23</v>
      </c>
      <c r="M34" s="23">
        <v>37</v>
      </c>
      <c r="N34" s="23">
        <v>28</v>
      </c>
      <c r="O34" s="23">
        <v>32</v>
      </c>
      <c r="P34" s="28">
        <v>18</v>
      </c>
    </row>
    <row r="35" spans="1:16" x14ac:dyDescent="0.25">
      <c r="A35" s="27">
        <v>44590</v>
      </c>
      <c r="B35" s="23">
        <v>25</v>
      </c>
      <c r="C35" s="23">
        <v>23</v>
      </c>
      <c r="D35" s="23">
        <v>22</v>
      </c>
      <c r="E35" s="23">
        <v>1</v>
      </c>
      <c r="F35" s="23">
        <v>2</v>
      </c>
      <c r="G35" s="23">
        <v>0</v>
      </c>
      <c r="H35" s="23">
        <v>2</v>
      </c>
      <c r="I35" s="23">
        <v>6</v>
      </c>
      <c r="J35" s="23">
        <v>3</v>
      </c>
      <c r="K35" s="23">
        <v>4</v>
      </c>
      <c r="L35" s="23">
        <v>1</v>
      </c>
      <c r="M35" s="23">
        <v>2</v>
      </c>
      <c r="N35" s="23">
        <v>2</v>
      </c>
      <c r="O35" s="23">
        <v>2</v>
      </c>
      <c r="P35" s="28">
        <v>0</v>
      </c>
    </row>
    <row r="36" spans="1:16" x14ac:dyDescent="0.25">
      <c r="A36" s="27">
        <v>44591</v>
      </c>
      <c r="B36" s="23">
        <v>1</v>
      </c>
      <c r="C36" s="23">
        <v>1</v>
      </c>
      <c r="D36" s="23">
        <v>1</v>
      </c>
      <c r="E36" s="23">
        <v>0</v>
      </c>
      <c r="F36" s="23">
        <v>0</v>
      </c>
      <c r="G36" s="23">
        <v>0</v>
      </c>
      <c r="H36" s="23">
        <v>0</v>
      </c>
      <c r="I36" s="23">
        <v>0</v>
      </c>
      <c r="J36" s="23">
        <v>0</v>
      </c>
      <c r="K36" s="23">
        <v>0</v>
      </c>
      <c r="L36" s="23">
        <v>0</v>
      </c>
      <c r="M36" s="23">
        <v>0</v>
      </c>
      <c r="N36" s="23">
        <v>1</v>
      </c>
      <c r="O36" s="23">
        <v>0</v>
      </c>
      <c r="P36" s="28">
        <v>0</v>
      </c>
    </row>
    <row r="37" spans="1:16" x14ac:dyDescent="0.25">
      <c r="A37" s="27">
        <v>44592</v>
      </c>
      <c r="B37" s="23">
        <v>296</v>
      </c>
      <c r="C37" s="23">
        <v>260</v>
      </c>
      <c r="D37" s="23">
        <v>240</v>
      </c>
      <c r="E37" s="23">
        <v>17</v>
      </c>
      <c r="F37" s="23">
        <v>25</v>
      </c>
      <c r="G37" s="23">
        <v>11</v>
      </c>
      <c r="H37" s="23">
        <v>21</v>
      </c>
      <c r="I37" s="23">
        <v>39</v>
      </c>
      <c r="J37" s="23">
        <v>29</v>
      </c>
      <c r="K37" s="23">
        <v>28</v>
      </c>
      <c r="L37" s="23">
        <v>24</v>
      </c>
      <c r="M37" s="23">
        <v>22</v>
      </c>
      <c r="N37" s="23">
        <v>26</v>
      </c>
      <c r="O37" s="23">
        <v>36</v>
      </c>
      <c r="P37" s="28">
        <v>15</v>
      </c>
    </row>
    <row r="38" spans="1:16" x14ac:dyDescent="0.25">
      <c r="A38" s="27">
        <v>44593</v>
      </c>
      <c r="B38" s="23">
        <v>280</v>
      </c>
      <c r="C38" s="23">
        <v>252</v>
      </c>
      <c r="D38" s="23">
        <v>243</v>
      </c>
      <c r="E38" s="23">
        <v>9</v>
      </c>
      <c r="F38" s="23">
        <v>22</v>
      </c>
      <c r="G38" s="23">
        <v>6</v>
      </c>
      <c r="H38" s="23">
        <v>19</v>
      </c>
      <c r="I38" s="23">
        <v>39</v>
      </c>
      <c r="J38" s="23">
        <v>32</v>
      </c>
      <c r="K38" s="23">
        <v>24</v>
      </c>
      <c r="L38" s="23">
        <v>25</v>
      </c>
      <c r="M38" s="23">
        <v>25</v>
      </c>
      <c r="N38" s="23">
        <v>33</v>
      </c>
      <c r="O38" s="23">
        <v>24</v>
      </c>
      <c r="P38" s="28">
        <v>22</v>
      </c>
    </row>
    <row r="39" spans="1:16" x14ac:dyDescent="0.25">
      <c r="A39" s="27">
        <v>44594</v>
      </c>
      <c r="B39" s="23">
        <v>248</v>
      </c>
      <c r="C39" s="23">
        <v>217</v>
      </c>
      <c r="D39" s="23">
        <v>201</v>
      </c>
      <c r="E39" s="23">
        <v>15</v>
      </c>
      <c r="F39" s="23">
        <v>27</v>
      </c>
      <c r="G39" s="23">
        <v>4</v>
      </c>
      <c r="H39" s="23">
        <v>15</v>
      </c>
      <c r="I39" s="23">
        <v>32</v>
      </c>
      <c r="J39" s="23">
        <v>26</v>
      </c>
      <c r="K39" s="23">
        <v>16</v>
      </c>
      <c r="L39" s="23">
        <v>29</v>
      </c>
      <c r="M39" s="23">
        <v>28</v>
      </c>
      <c r="N39" s="23">
        <v>22</v>
      </c>
      <c r="O39" s="23">
        <v>23</v>
      </c>
      <c r="P39" s="28">
        <v>10</v>
      </c>
    </row>
    <row r="40" spans="1:16" x14ac:dyDescent="0.25">
      <c r="A40" s="27">
        <v>44595</v>
      </c>
      <c r="B40" s="23">
        <v>297</v>
      </c>
      <c r="C40" s="23">
        <v>271</v>
      </c>
      <c r="D40" s="23">
        <v>250</v>
      </c>
      <c r="E40" s="23">
        <v>21</v>
      </c>
      <c r="F40" s="23">
        <v>22</v>
      </c>
      <c r="G40" s="23">
        <v>4</v>
      </c>
      <c r="H40" s="23">
        <v>23</v>
      </c>
      <c r="I40" s="23">
        <v>42</v>
      </c>
      <c r="J40" s="23">
        <v>27</v>
      </c>
      <c r="K40" s="23">
        <v>19</v>
      </c>
      <c r="L40" s="23">
        <v>36</v>
      </c>
      <c r="M40" s="23">
        <v>19</v>
      </c>
      <c r="N40" s="23">
        <v>26</v>
      </c>
      <c r="O40" s="23">
        <v>36</v>
      </c>
      <c r="P40" s="28">
        <v>22</v>
      </c>
    </row>
    <row r="41" spans="1:16" x14ac:dyDescent="0.25">
      <c r="A41" s="27">
        <v>44596</v>
      </c>
      <c r="B41" s="23">
        <v>245</v>
      </c>
      <c r="C41" s="23">
        <v>218</v>
      </c>
      <c r="D41" s="23">
        <v>205</v>
      </c>
      <c r="E41" s="23">
        <v>13</v>
      </c>
      <c r="F41" s="23">
        <v>22</v>
      </c>
      <c r="G41" s="23">
        <v>5</v>
      </c>
      <c r="H41" s="23">
        <v>19</v>
      </c>
      <c r="I41" s="23">
        <v>19</v>
      </c>
      <c r="J41" s="23">
        <v>33</v>
      </c>
      <c r="K41" s="23">
        <v>21</v>
      </c>
      <c r="L41" s="23">
        <v>21</v>
      </c>
      <c r="M41" s="23">
        <v>23</v>
      </c>
      <c r="N41" s="23">
        <v>25</v>
      </c>
      <c r="O41" s="23">
        <v>27</v>
      </c>
      <c r="P41" s="28">
        <v>17</v>
      </c>
    </row>
    <row r="42" spans="1:16" x14ac:dyDescent="0.25">
      <c r="A42" s="27">
        <v>44597</v>
      </c>
      <c r="B42" s="23">
        <v>24</v>
      </c>
      <c r="C42" s="23">
        <v>23</v>
      </c>
      <c r="D42" s="23">
        <v>23</v>
      </c>
      <c r="E42" s="23">
        <v>0</v>
      </c>
      <c r="F42" s="23">
        <v>1</v>
      </c>
      <c r="G42" s="23">
        <v>0</v>
      </c>
      <c r="H42" s="23">
        <v>1</v>
      </c>
      <c r="I42" s="23">
        <v>5</v>
      </c>
      <c r="J42" s="23">
        <v>5</v>
      </c>
      <c r="K42" s="23">
        <v>1</v>
      </c>
      <c r="L42" s="23">
        <v>6</v>
      </c>
      <c r="M42" s="23">
        <v>3</v>
      </c>
      <c r="N42" s="23">
        <v>2</v>
      </c>
      <c r="O42" s="23">
        <v>0</v>
      </c>
      <c r="P42" s="28">
        <v>0</v>
      </c>
    </row>
    <row r="43" spans="1:16" x14ac:dyDescent="0.25">
      <c r="A43" s="27">
        <v>44598</v>
      </c>
      <c r="B43" s="23">
        <v>2</v>
      </c>
      <c r="C43" s="23">
        <v>2</v>
      </c>
      <c r="D43" s="23">
        <v>2</v>
      </c>
      <c r="E43" s="23">
        <v>0</v>
      </c>
      <c r="F43" s="23">
        <v>0</v>
      </c>
      <c r="G43" s="23">
        <v>0</v>
      </c>
      <c r="H43" s="23">
        <v>0</v>
      </c>
      <c r="I43" s="23">
        <v>0</v>
      </c>
      <c r="J43" s="23">
        <v>0</v>
      </c>
      <c r="K43" s="23">
        <v>0</v>
      </c>
      <c r="L43" s="23">
        <v>1</v>
      </c>
      <c r="M43" s="23">
        <v>0</v>
      </c>
      <c r="N43" s="23">
        <v>1</v>
      </c>
      <c r="O43" s="23">
        <v>0</v>
      </c>
      <c r="P43" s="28">
        <v>0</v>
      </c>
    </row>
    <row r="44" spans="1:16" x14ac:dyDescent="0.25">
      <c r="A44" s="27">
        <v>44599</v>
      </c>
      <c r="B44" s="23">
        <v>244</v>
      </c>
      <c r="C44" s="23">
        <v>213</v>
      </c>
      <c r="D44" s="23">
        <v>204</v>
      </c>
      <c r="E44" s="23">
        <v>9</v>
      </c>
      <c r="F44" s="23">
        <v>18</v>
      </c>
      <c r="G44" s="23">
        <v>13</v>
      </c>
      <c r="H44" s="23">
        <v>14</v>
      </c>
      <c r="I44" s="23">
        <v>30</v>
      </c>
      <c r="J44" s="23">
        <v>15</v>
      </c>
      <c r="K44" s="23">
        <v>19</v>
      </c>
      <c r="L44" s="23">
        <v>21</v>
      </c>
      <c r="M44" s="23">
        <v>25</v>
      </c>
      <c r="N44" s="23">
        <v>23</v>
      </c>
      <c r="O44" s="23">
        <v>32</v>
      </c>
      <c r="P44" s="28">
        <v>25</v>
      </c>
    </row>
    <row r="45" spans="1:16" x14ac:dyDescent="0.25">
      <c r="A45" s="27">
        <v>44600</v>
      </c>
      <c r="B45" s="23">
        <v>252</v>
      </c>
      <c r="C45" s="23">
        <v>229</v>
      </c>
      <c r="D45" s="23">
        <v>218</v>
      </c>
      <c r="E45" s="23">
        <v>10</v>
      </c>
      <c r="F45" s="23">
        <v>16</v>
      </c>
      <c r="G45" s="23">
        <v>7</v>
      </c>
      <c r="H45" s="23">
        <v>19</v>
      </c>
      <c r="I45" s="23">
        <v>38</v>
      </c>
      <c r="J45" s="23">
        <v>20</v>
      </c>
      <c r="K45" s="23">
        <v>21</v>
      </c>
      <c r="L45" s="23">
        <v>23</v>
      </c>
      <c r="M45" s="23">
        <v>26</v>
      </c>
      <c r="N45" s="23">
        <v>22</v>
      </c>
      <c r="O45" s="23">
        <v>25</v>
      </c>
      <c r="P45" s="28">
        <v>24</v>
      </c>
    </row>
    <row r="46" spans="1:16" x14ac:dyDescent="0.25">
      <c r="A46" s="27">
        <v>44601</v>
      </c>
      <c r="B46" s="23">
        <v>227</v>
      </c>
      <c r="C46" s="23">
        <v>206</v>
      </c>
      <c r="D46" s="23">
        <v>199</v>
      </c>
      <c r="E46" s="23">
        <v>7</v>
      </c>
      <c r="F46" s="23">
        <v>12</v>
      </c>
      <c r="G46" s="23">
        <v>9</v>
      </c>
      <c r="H46" s="23">
        <v>11</v>
      </c>
      <c r="I46" s="23">
        <v>24</v>
      </c>
      <c r="J46" s="23">
        <v>20</v>
      </c>
      <c r="K46" s="23">
        <v>26</v>
      </c>
      <c r="L46" s="23">
        <v>23</v>
      </c>
      <c r="M46" s="23">
        <v>29</v>
      </c>
      <c r="N46" s="23">
        <v>14</v>
      </c>
      <c r="O46" s="23">
        <v>30</v>
      </c>
      <c r="P46" s="28">
        <v>22</v>
      </c>
    </row>
    <row r="47" spans="1:16" x14ac:dyDescent="0.25">
      <c r="A47" s="27">
        <v>44602</v>
      </c>
      <c r="B47" s="23">
        <v>228</v>
      </c>
      <c r="C47" s="23">
        <v>204</v>
      </c>
      <c r="D47" s="23">
        <v>198</v>
      </c>
      <c r="E47" s="23">
        <v>6</v>
      </c>
      <c r="F47" s="23">
        <v>20</v>
      </c>
      <c r="G47" s="23">
        <v>4</v>
      </c>
      <c r="H47" s="23">
        <v>9</v>
      </c>
      <c r="I47" s="23">
        <v>25</v>
      </c>
      <c r="J47" s="23">
        <v>19</v>
      </c>
      <c r="K47" s="23">
        <v>18</v>
      </c>
      <c r="L47" s="23">
        <v>34</v>
      </c>
      <c r="M47" s="23">
        <v>25</v>
      </c>
      <c r="N47" s="23">
        <v>16</v>
      </c>
      <c r="O47" s="23">
        <v>29</v>
      </c>
      <c r="P47" s="28">
        <v>23</v>
      </c>
    </row>
    <row r="48" spans="1:16" x14ac:dyDescent="0.25">
      <c r="A48" s="27">
        <v>44603</v>
      </c>
      <c r="B48" s="23">
        <v>212</v>
      </c>
      <c r="C48" s="23">
        <v>189</v>
      </c>
      <c r="D48" s="23">
        <v>181</v>
      </c>
      <c r="E48" s="23">
        <v>8</v>
      </c>
      <c r="F48" s="23">
        <v>16</v>
      </c>
      <c r="G48" s="23">
        <v>7</v>
      </c>
      <c r="H48" s="23">
        <v>14</v>
      </c>
      <c r="I48" s="23">
        <v>27</v>
      </c>
      <c r="J48" s="23">
        <v>16</v>
      </c>
      <c r="K48" s="23">
        <v>12</v>
      </c>
      <c r="L48" s="23">
        <v>23</v>
      </c>
      <c r="M48" s="23">
        <v>22</v>
      </c>
      <c r="N48" s="23">
        <v>22</v>
      </c>
      <c r="O48" s="23">
        <v>26</v>
      </c>
      <c r="P48" s="28">
        <v>19</v>
      </c>
    </row>
    <row r="49" spans="1:16" x14ac:dyDescent="0.25">
      <c r="A49" s="27">
        <v>44604</v>
      </c>
      <c r="B49" s="23">
        <v>18</v>
      </c>
      <c r="C49" s="23">
        <v>18</v>
      </c>
      <c r="D49" s="23">
        <v>18</v>
      </c>
      <c r="E49" s="23">
        <v>0</v>
      </c>
      <c r="F49" s="23">
        <v>0</v>
      </c>
      <c r="G49" s="23">
        <v>0</v>
      </c>
      <c r="H49" s="23">
        <v>0</v>
      </c>
      <c r="I49" s="23">
        <v>2</v>
      </c>
      <c r="J49" s="23">
        <v>0</v>
      </c>
      <c r="K49" s="23">
        <v>6</v>
      </c>
      <c r="L49" s="23">
        <v>8</v>
      </c>
      <c r="M49" s="23">
        <v>0</v>
      </c>
      <c r="N49" s="23">
        <v>1</v>
      </c>
      <c r="O49" s="23">
        <v>1</v>
      </c>
      <c r="P49" s="28">
        <v>0</v>
      </c>
    </row>
    <row r="50" spans="1:16" x14ac:dyDescent="0.25">
      <c r="A50" s="27">
        <v>44605</v>
      </c>
      <c r="B50" s="23">
        <v>3</v>
      </c>
      <c r="C50" s="23">
        <v>3</v>
      </c>
      <c r="D50" s="23">
        <v>3</v>
      </c>
      <c r="E50" s="23">
        <v>0</v>
      </c>
      <c r="F50" s="23">
        <v>0</v>
      </c>
      <c r="G50" s="23">
        <v>0</v>
      </c>
      <c r="H50" s="23">
        <v>0</v>
      </c>
      <c r="I50" s="23">
        <v>1</v>
      </c>
      <c r="J50" s="23">
        <v>0</v>
      </c>
      <c r="K50" s="23">
        <v>0</v>
      </c>
      <c r="L50" s="23">
        <v>0</v>
      </c>
      <c r="M50" s="23">
        <v>0</v>
      </c>
      <c r="N50" s="23">
        <v>2</v>
      </c>
      <c r="O50" s="23">
        <v>0</v>
      </c>
      <c r="P50" s="28">
        <v>0</v>
      </c>
    </row>
    <row r="51" spans="1:16" x14ac:dyDescent="0.25">
      <c r="A51" s="27">
        <v>44606</v>
      </c>
      <c r="B51" s="23">
        <v>183</v>
      </c>
      <c r="C51" s="23">
        <v>160</v>
      </c>
      <c r="D51" s="23">
        <v>152</v>
      </c>
      <c r="E51" s="23">
        <v>8</v>
      </c>
      <c r="F51" s="23">
        <v>15</v>
      </c>
      <c r="G51" s="23">
        <v>8</v>
      </c>
      <c r="H51" s="23">
        <v>14</v>
      </c>
      <c r="I51" s="23">
        <v>22</v>
      </c>
      <c r="J51" s="23">
        <v>15</v>
      </c>
      <c r="K51" s="23">
        <v>18</v>
      </c>
      <c r="L51" s="23">
        <v>16</v>
      </c>
      <c r="M51" s="23">
        <v>14</v>
      </c>
      <c r="N51" s="23">
        <v>14</v>
      </c>
      <c r="O51" s="23">
        <v>25</v>
      </c>
      <c r="P51" s="28">
        <v>14</v>
      </c>
    </row>
    <row r="52" spans="1:16" x14ac:dyDescent="0.25">
      <c r="A52" s="27">
        <v>44607</v>
      </c>
      <c r="B52" s="23">
        <v>196</v>
      </c>
      <c r="C52" s="23">
        <v>172</v>
      </c>
      <c r="D52" s="23">
        <v>164</v>
      </c>
      <c r="E52" s="23">
        <v>8</v>
      </c>
      <c r="F52" s="23">
        <v>15</v>
      </c>
      <c r="G52" s="23">
        <v>9</v>
      </c>
      <c r="H52" s="23">
        <v>10</v>
      </c>
      <c r="I52" s="23">
        <v>16</v>
      </c>
      <c r="J52" s="23">
        <v>22</v>
      </c>
      <c r="K52" s="23">
        <v>15</v>
      </c>
      <c r="L52" s="23">
        <v>23</v>
      </c>
      <c r="M52" s="23">
        <v>21</v>
      </c>
      <c r="N52" s="23">
        <v>12</v>
      </c>
      <c r="O52" s="23">
        <v>28</v>
      </c>
      <c r="P52" s="28">
        <v>17</v>
      </c>
    </row>
    <row r="53" spans="1:16" x14ac:dyDescent="0.25">
      <c r="A53" s="27">
        <v>44608</v>
      </c>
      <c r="B53" s="23">
        <v>190</v>
      </c>
      <c r="C53" s="23">
        <v>167</v>
      </c>
      <c r="D53" s="23">
        <v>160</v>
      </c>
      <c r="E53" s="23">
        <v>6</v>
      </c>
      <c r="F53" s="23">
        <v>18</v>
      </c>
      <c r="G53" s="23">
        <v>5</v>
      </c>
      <c r="H53" s="23">
        <v>15</v>
      </c>
      <c r="I53" s="23">
        <v>21</v>
      </c>
      <c r="J53" s="23">
        <v>14</v>
      </c>
      <c r="K53" s="23">
        <v>15</v>
      </c>
      <c r="L53" s="23">
        <v>21</v>
      </c>
      <c r="M53" s="23">
        <v>19</v>
      </c>
      <c r="N53" s="23">
        <v>19</v>
      </c>
      <c r="O53" s="23">
        <v>19</v>
      </c>
      <c r="P53" s="28">
        <v>17</v>
      </c>
    </row>
    <row r="54" spans="1:16" x14ac:dyDescent="0.25">
      <c r="A54" s="27">
        <v>44609</v>
      </c>
      <c r="B54" s="23">
        <v>203</v>
      </c>
      <c r="C54" s="23">
        <v>186</v>
      </c>
      <c r="D54" s="23">
        <v>175</v>
      </c>
      <c r="E54" s="23">
        <v>10</v>
      </c>
      <c r="F54" s="23">
        <v>12</v>
      </c>
      <c r="G54" s="23">
        <v>5</v>
      </c>
      <c r="H54" s="23">
        <v>6</v>
      </c>
      <c r="I54" s="23">
        <v>24</v>
      </c>
      <c r="J54" s="23">
        <v>24</v>
      </c>
      <c r="K54" s="23">
        <v>20</v>
      </c>
      <c r="L54" s="23">
        <v>16</v>
      </c>
      <c r="M54" s="23">
        <v>20</v>
      </c>
      <c r="N54" s="23">
        <v>9</v>
      </c>
      <c r="O54" s="23">
        <v>37</v>
      </c>
      <c r="P54" s="28">
        <v>19</v>
      </c>
    </row>
    <row r="55" spans="1:16" x14ac:dyDescent="0.25">
      <c r="A55" s="27">
        <v>44610</v>
      </c>
      <c r="B55" s="23">
        <v>177</v>
      </c>
      <c r="C55" s="23">
        <v>157</v>
      </c>
      <c r="D55" s="23">
        <v>142</v>
      </c>
      <c r="E55" s="23">
        <v>15</v>
      </c>
      <c r="F55" s="23">
        <v>16</v>
      </c>
      <c r="G55" s="23">
        <v>4</v>
      </c>
      <c r="H55" s="23">
        <v>9</v>
      </c>
      <c r="I55" s="23">
        <v>24</v>
      </c>
      <c r="J55" s="23">
        <v>14</v>
      </c>
      <c r="K55" s="23">
        <v>13</v>
      </c>
      <c r="L55" s="23">
        <v>14</v>
      </c>
      <c r="M55" s="23">
        <v>22</v>
      </c>
      <c r="N55" s="23">
        <v>14</v>
      </c>
      <c r="O55" s="23">
        <v>18</v>
      </c>
      <c r="P55" s="28">
        <v>14</v>
      </c>
    </row>
    <row r="56" spans="1:16" x14ac:dyDescent="0.25">
      <c r="A56" s="27">
        <v>44611</v>
      </c>
      <c r="B56" s="23">
        <v>12</v>
      </c>
      <c r="C56" s="23">
        <v>12</v>
      </c>
      <c r="D56" s="23">
        <v>12</v>
      </c>
      <c r="E56" s="23">
        <v>0</v>
      </c>
      <c r="F56" s="23">
        <v>0</v>
      </c>
      <c r="G56" s="23">
        <v>0</v>
      </c>
      <c r="H56" s="23">
        <v>2</v>
      </c>
      <c r="I56" s="23">
        <v>1</v>
      </c>
      <c r="J56" s="23">
        <v>4</v>
      </c>
      <c r="K56" s="23">
        <v>1</v>
      </c>
      <c r="L56" s="23">
        <v>3</v>
      </c>
      <c r="M56" s="23">
        <v>0</v>
      </c>
      <c r="N56" s="23">
        <v>0</v>
      </c>
      <c r="O56" s="23">
        <v>0</v>
      </c>
      <c r="P56" s="28">
        <v>1</v>
      </c>
    </row>
    <row r="57" spans="1:16" x14ac:dyDescent="0.25">
      <c r="A57" s="27">
        <v>44612</v>
      </c>
      <c r="B57" s="23">
        <v>1</v>
      </c>
      <c r="C57" s="23">
        <v>1</v>
      </c>
      <c r="D57" s="23">
        <v>1</v>
      </c>
      <c r="E57" s="23">
        <v>0</v>
      </c>
      <c r="F57" s="23">
        <v>0</v>
      </c>
      <c r="G57" s="23">
        <v>0</v>
      </c>
      <c r="H57" s="23">
        <v>0</v>
      </c>
      <c r="I57" s="23">
        <v>0</v>
      </c>
      <c r="J57" s="23">
        <v>0</v>
      </c>
      <c r="K57" s="23">
        <v>0</v>
      </c>
      <c r="L57" s="23">
        <v>0</v>
      </c>
      <c r="M57" s="23">
        <v>0</v>
      </c>
      <c r="N57" s="23">
        <v>1</v>
      </c>
      <c r="O57" s="23">
        <v>0</v>
      </c>
      <c r="P57" s="28">
        <v>0</v>
      </c>
    </row>
    <row r="58" spans="1:16" x14ac:dyDescent="0.25">
      <c r="A58" s="27">
        <v>44613</v>
      </c>
      <c r="B58" s="23">
        <v>183</v>
      </c>
      <c r="C58" s="23">
        <v>152</v>
      </c>
      <c r="D58" s="23">
        <v>145</v>
      </c>
      <c r="E58" s="23">
        <v>7</v>
      </c>
      <c r="F58" s="23">
        <v>18</v>
      </c>
      <c r="G58" s="23">
        <v>13</v>
      </c>
      <c r="H58" s="23">
        <v>7</v>
      </c>
      <c r="I58" s="23">
        <v>19</v>
      </c>
      <c r="J58" s="23">
        <v>14</v>
      </c>
      <c r="K58" s="23">
        <v>17</v>
      </c>
      <c r="L58" s="23">
        <v>13</v>
      </c>
      <c r="M58" s="23">
        <v>17</v>
      </c>
      <c r="N58" s="23">
        <v>13</v>
      </c>
      <c r="O58" s="23">
        <v>29</v>
      </c>
      <c r="P58" s="28">
        <v>16</v>
      </c>
    </row>
    <row r="59" spans="1:16" x14ac:dyDescent="0.25">
      <c r="A59" s="27">
        <v>44614</v>
      </c>
      <c r="B59" s="23">
        <v>175</v>
      </c>
      <c r="C59" s="23">
        <v>153</v>
      </c>
      <c r="D59" s="23">
        <v>144</v>
      </c>
      <c r="E59" s="23">
        <v>8</v>
      </c>
      <c r="F59" s="23">
        <v>18</v>
      </c>
      <c r="G59" s="23">
        <v>4</v>
      </c>
      <c r="H59" s="23">
        <v>10</v>
      </c>
      <c r="I59" s="23">
        <v>22</v>
      </c>
      <c r="J59" s="23">
        <v>15</v>
      </c>
      <c r="K59" s="23">
        <v>9</v>
      </c>
      <c r="L59" s="23">
        <v>16</v>
      </c>
      <c r="M59" s="23">
        <v>18</v>
      </c>
      <c r="N59" s="23">
        <v>12</v>
      </c>
      <c r="O59" s="23">
        <v>31</v>
      </c>
      <c r="P59" s="28">
        <v>11</v>
      </c>
    </row>
    <row r="60" spans="1:16" x14ac:dyDescent="0.25">
      <c r="A60" s="27">
        <v>44615</v>
      </c>
      <c r="B60" s="23">
        <v>172</v>
      </c>
      <c r="C60" s="23">
        <v>157</v>
      </c>
      <c r="D60" s="23">
        <v>146</v>
      </c>
      <c r="E60" s="23">
        <v>11</v>
      </c>
      <c r="F60" s="23">
        <v>12</v>
      </c>
      <c r="G60" s="23">
        <v>3</v>
      </c>
      <c r="H60" s="23">
        <v>4</v>
      </c>
      <c r="I60" s="23">
        <v>15</v>
      </c>
      <c r="J60" s="23">
        <v>14</v>
      </c>
      <c r="K60" s="23">
        <v>15</v>
      </c>
      <c r="L60" s="23">
        <v>17</v>
      </c>
      <c r="M60" s="23">
        <v>14</v>
      </c>
      <c r="N60" s="23">
        <v>22</v>
      </c>
      <c r="O60" s="23">
        <v>33</v>
      </c>
      <c r="P60" s="28">
        <v>12</v>
      </c>
    </row>
    <row r="61" spans="1:16" x14ac:dyDescent="0.25">
      <c r="A61" s="27">
        <v>44616</v>
      </c>
      <c r="B61" s="23">
        <v>169</v>
      </c>
      <c r="C61" s="23">
        <v>145</v>
      </c>
      <c r="D61" s="23">
        <v>134</v>
      </c>
      <c r="E61" s="23">
        <v>11</v>
      </c>
      <c r="F61" s="23">
        <v>16</v>
      </c>
      <c r="G61" s="23">
        <v>8</v>
      </c>
      <c r="H61" s="23">
        <v>5</v>
      </c>
      <c r="I61" s="23">
        <v>15</v>
      </c>
      <c r="J61" s="23">
        <v>5</v>
      </c>
      <c r="K61" s="23">
        <v>13</v>
      </c>
      <c r="L61" s="23">
        <v>21</v>
      </c>
      <c r="M61" s="23">
        <v>12</v>
      </c>
      <c r="N61" s="23">
        <v>15</v>
      </c>
      <c r="O61" s="23">
        <v>27</v>
      </c>
      <c r="P61" s="28">
        <v>21</v>
      </c>
    </row>
    <row r="62" spans="1:16" x14ac:dyDescent="0.25">
      <c r="A62" s="27">
        <v>44617</v>
      </c>
      <c r="B62" s="23">
        <v>166</v>
      </c>
      <c r="C62" s="23">
        <v>146</v>
      </c>
      <c r="D62" s="23">
        <v>140</v>
      </c>
      <c r="E62" s="23">
        <v>6</v>
      </c>
      <c r="F62" s="23">
        <v>15</v>
      </c>
      <c r="G62" s="23">
        <v>5</v>
      </c>
      <c r="H62" s="23">
        <v>7</v>
      </c>
      <c r="I62" s="23">
        <v>14</v>
      </c>
      <c r="J62" s="23">
        <v>14</v>
      </c>
      <c r="K62" s="23">
        <v>18</v>
      </c>
      <c r="L62" s="23">
        <v>13</v>
      </c>
      <c r="M62" s="23">
        <v>10</v>
      </c>
      <c r="N62" s="23">
        <v>17</v>
      </c>
      <c r="O62" s="23">
        <v>28</v>
      </c>
      <c r="P62" s="28">
        <v>19</v>
      </c>
    </row>
    <row r="63" spans="1:16" x14ac:dyDescent="0.25">
      <c r="A63" s="27">
        <v>44618</v>
      </c>
      <c r="B63" s="23">
        <v>15</v>
      </c>
      <c r="C63" s="23">
        <v>14</v>
      </c>
      <c r="D63" s="23">
        <v>14</v>
      </c>
      <c r="E63" s="23">
        <v>0</v>
      </c>
      <c r="F63" s="23">
        <v>1</v>
      </c>
      <c r="G63" s="23">
        <v>0</v>
      </c>
      <c r="H63" s="23">
        <v>0</v>
      </c>
      <c r="I63" s="23">
        <v>2</v>
      </c>
      <c r="J63" s="23">
        <v>3</v>
      </c>
      <c r="K63" s="23">
        <v>2</v>
      </c>
      <c r="L63" s="23">
        <v>1</v>
      </c>
      <c r="M63" s="23">
        <v>1</v>
      </c>
      <c r="N63" s="23">
        <v>3</v>
      </c>
      <c r="O63" s="23">
        <v>2</v>
      </c>
      <c r="P63" s="28">
        <v>0</v>
      </c>
    </row>
    <row r="64" spans="1:16" x14ac:dyDescent="0.25">
      <c r="A64" s="27">
        <v>44619</v>
      </c>
      <c r="B64" s="23">
        <v>2</v>
      </c>
      <c r="C64" s="23">
        <v>2</v>
      </c>
      <c r="D64" s="23">
        <v>2</v>
      </c>
      <c r="E64" s="23">
        <v>0</v>
      </c>
      <c r="F64" s="23">
        <v>0</v>
      </c>
      <c r="G64" s="23">
        <v>0</v>
      </c>
      <c r="H64" s="23">
        <v>0</v>
      </c>
      <c r="I64" s="23">
        <v>0</v>
      </c>
      <c r="J64" s="23">
        <v>0</v>
      </c>
      <c r="K64" s="23">
        <v>0</v>
      </c>
      <c r="L64" s="23">
        <v>1</v>
      </c>
      <c r="M64" s="23">
        <v>0</v>
      </c>
      <c r="N64" s="23">
        <v>1</v>
      </c>
      <c r="O64" s="23">
        <v>0</v>
      </c>
      <c r="P64" s="28">
        <v>0</v>
      </c>
    </row>
    <row r="65" spans="1:16" x14ac:dyDescent="0.25">
      <c r="A65" s="27">
        <v>44620</v>
      </c>
      <c r="B65" s="23">
        <v>178</v>
      </c>
      <c r="C65" s="23">
        <v>148</v>
      </c>
      <c r="D65" s="23">
        <v>140</v>
      </c>
      <c r="E65" s="23">
        <v>8</v>
      </c>
      <c r="F65" s="23">
        <v>21</v>
      </c>
      <c r="G65" s="23">
        <v>9</v>
      </c>
      <c r="H65" s="23">
        <v>1</v>
      </c>
      <c r="I65" s="23">
        <v>12</v>
      </c>
      <c r="J65" s="23">
        <v>24</v>
      </c>
      <c r="K65" s="23">
        <v>11</v>
      </c>
      <c r="L65" s="23">
        <v>19</v>
      </c>
      <c r="M65" s="23">
        <v>8</v>
      </c>
      <c r="N65" s="23">
        <v>12</v>
      </c>
      <c r="O65" s="23">
        <v>40</v>
      </c>
      <c r="P65" s="28">
        <v>13</v>
      </c>
    </row>
    <row r="66" spans="1:16" x14ac:dyDescent="0.25">
      <c r="A66" s="27">
        <v>44621</v>
      </c>
      <c r="B66" s="23">
        <v>154</v>
      </c>
      <c r="C66" s="23">
        <v>127</v>
      </c>
      <c r="D66" s="23">
        <v>119</v>
      </c>
      <c r="E66" s="23">
        <v>8</v>
      </c>
      <c r="F66" s="23">
        <v>19</v>
      </c>
      <c r="G66" s="23">
        <v>8</v>
      </c>
      <c r="H66" s="23">
        <v>4</v>
      </c>
      <c r="I66" s="23">
        <v>14</v>
      </c>
      <c r="J66" s="23">
        <v>14</v>
      </c>
      <c r="K66" s="23">
        <v>12</v>
      </c>
      <c r="L66" s="23">
        <v>9</v>
      </c>
      <c r="M66" s="23">
        <v>13</v>
      </c>
      <c r="N66" s="23">
        <v>11</v>
      </c>
      <c r="O66" s="23">
        <v>29</v>
      </c>
      <c r="P66" s="28">
        <v>13</v>
      </c>
    </row>
    <row r="67" spans="1:16" x14ac:dyDescent="0.25">
      <c r="A67" s="27">
        <v>44622</v>
      </c>
      <c r="B67" s="23">
        <v>158</v>
      </c>
      <c r="C67" s="23">
        <v>121</v>
      </c>
      <c r="D67" s="23">
        <v>113</v>
      </c>
      <c r="E67" s="23">
        <v>8</v>
      </c>
      <c r="F67" s="23">
        <v>24</v>
      </c>
      <c r="G67" s="23">
        <v>13</v>
      </c>
      <c r="H67" s="23">
        <v>6</v>
      </c>
      <c r="I67" s="23">
        <v>15</v>
      </c>
      <c r="J67" s="23">
        <v>3</v>
      </c>
      <c r="K67" s="23">
        <v>10</v>
      </c>
      <c r="L67" s="23">
        <v>16</v>
      </c>
      <c r="M67" s="23">
        <v>16</v>
      </c>
      <c r="N67" s="23">
        <v>12</v>
      </c>
      <c r="O67" s="23">
        <v>20</v>
      </c>
      <c r="P67" s="28">
        <v>15</v>
      </c>
    </row>
    <row r="68" spans="1:16" x14ac:dyDescent="0.25">
      <c r="A68" s="27">
        <v>44623</v>
      </c>
      <c r="B68" s="23">
        <v>163</v>
      </c>
      <c r="C68" s="23">
        <v>132</v>
      </c>
      <c r="D68" s="23">
        <v>117</v>
      </c>
      <c r="E68" s="23">
        <v>15</v>
      </c>
      <c r="F68" s="23">
        <v>28</v>
      </c>
      <c r="G68" s="23">
        <v>3</v>
      </c>
      <c r="H68" s="23">
        <v>7</v>
      </c>
      <c r="I68" s="23">
        <v>12</v>
      </c>
      <c r="J68" s="23">
        <v>13</v>
      </c>
      <c r="K68" s="23">
        <v>12</v>
      </c>
      <c r="L68" s="23">
        <v>11</v>
      </c>
      <c r="M68" s="23">
        <v>17</v>
      </c>
      <c r="N68" s="23">
        <v>14</v>
      </c>
      <c r="O68" s="23">
        <v>18</v>
      </c>
      <c r="P68" s="28">
        <v>13</v>
      </c>
    </row>
    <row r="69" spans="1:16" x14ac:dyDescent="0.25">
      <c r="A69" s="27">
        <v>44624</v>
      </c>
      <c r="B69" s="23">
        <v>147</v>
      </c>
      <c r="C69" s="23">
        <v>126</v>
      </c>
      <c r="D69" s="23">
        <v>116</v>
      </c>
      <c r="E69" s="23">
        <v>9</v>
      </c>
      <c r="F69" s="23">
        <v>20</v>
      </c>
      <c r="G69" s="23">
        <v>1</v>
      </c>
      <c r="H69" s="23">
        <v>9</v>
      </c>
      <c r="I69" s="23">
        <v>18</v>
      </c>
      <c r="J69" s="23">
        <v>7</v>
      </c>
      <c r="K69" s="23">
        <v>6</v>
      </c>
      <c r="L69" s="23">
        <v>16</v>
      </c>
      <c r="M69" s="23">
        <v>23</v>
      </c>
      <c r="N69" s="23">
        <v>11</v>
      </c>
      <c r="O69" s="23">
        <v>19</v>
      </c>
      <c r="P69" s="28">
        <v>7</v>
      </c>
    </row>
    <row r="70" spans="1:16" x14ac:dyDescent="0.25">
      <c r="A70" s="27">
        <v>44625</v>
      </c>
      <c r="B70" s="23">
        <v>10</v>
      </c>
      <c r="C70" s="23">
        <v>9</v>
      </c>
      <c r="D70" s="23">
        <v>9</v>
      </c>
      <c r="E70" s="23">
        <v>0</v>
      </c>
      <c r="F70" s="23">
        <v>1</v>
      </c>
      <c r="G70" s="23">
        <v>0</v>
      </c>
      <c r="H70" s="23">
        <v>0</v>
      </c>
      <c r="I70" s="23">
        <v>3</v>
      </c>
      <c r="J70" s="23">
        <v>0</v>
      </c>
      <c r="K70" s="23">
        <v>2</v>
      </c>
      <c r="L70" s="23">
        <v>3</v>
      </c>
      <c r="M70" s="23">
        <v>1</v>
      </c>
      <c r="N70" s="23">
        <v>0</v>
      </c>
      <c r="O70" s="23">
        <v>0</v>
      </c>
      <c r="P70" s="28">
        <v>0</v>
      </c>
    </row>
    <row r="71" spans="1:16" x14ac:dyDescent="0.25">
      <c r="A71" s="27">
        <v>44626</v>
      </c>
      <c r="B71" s="23">
        <v>1</v>
      </c>
      <c r="C71" s="23">
        <v>1</v>
      </c>
      <c r="D71" s="23">
        <v>1</v>
      </c>
      <c r="E71" s="23">
        <v>0</v>
      </c>
      <c r="F71" s="23">
        <v>0</v>
      </c>
      <c r="G71" s="23">
        <v>0</v>
      </c>
      <c r="H71" s="23">
        <v>0</v>
      </c>
      <c r="I71" s="23">
        <v>0</v>
      </c>
      <c r="J71" s="23">
        <v>0</v>
      </c>
      <c r="K71" s="23">
        <v>1</v>
      </c>
      <c r="L71" s="23">
        <v>0</v>
      </c>
      <c r="M71" s="23">
        <v>0</v>
      </c>
      <c r="N71" s="23">
        <v>0</v>
      </c>
      <c r="O71" s="23">
        <v>0</v>
      </c>
      <c r="P71" s="28">
        <v>0</v>
      </c>
    </row>
    <row r="72" spans="1:16" x14ac:dyDescent="0.25">
      <c r="A72" s="27">
        <v>44627</v>
      </c>
      <c r="B72" s="23">
        <v>156</v>
      </c>
      <c r="C72" s="23">
        <v>133</v>
      </c>
      <c r="D72" s="23">
        <v>124</v>
      </c>
      <c r="E72" s="23">
        <v>8</v>
      </c>
      <c r="F72" s="23">
        <v>17</v>
      </c>
      <c r="G72" s="23">
        <v>6</v>
      </c>
      <c r="H72" s="23">
        <v>4</v>
      </c>
      <c r="I72" s="23">
        <v>15</v>
      </c>
      <c r="J72" s="23">
        <v>10</v>
      </c>
      <c r="K72" s="23">
        <v>14</v>
      </c>
      <c r="L72" s="23">
        <v>15</v>
      </c>
      <c r="M72" s="23">
        <v>18</v>
      </c>
      <c r="N72" s="23">
        <v>10</v>
      </c>
      <c r="O72" s="23">
        <v>26</v>
      </c>
      <c r="P72" s="28">
        <v>12</v>
      </c>
    </row>
    <row r="73" spans="1:16" x14ac:dyDescent="0.25">
      <c r="A73" s="27">
        <v>44628</v>
      </c>
      <c r="B73" s="23">
        <v>182</v>
      </c>
      <c r="C73" s="23">
        <v>148</v>
      </c>
      <c r="D73" s="23">
        <v>138</v>
      </c>
      <c r="E73" s="23">
        <v>9</v>
      </c>
      <c r="F73" s="23">
        <v>23</v>
      </c>
      <c r="G73" s="23">
        <v>11</v>
      </c>
      <c r="H73" s="23">
        <v>7</v>
      </c>
      <c r="I73" s="23">
        <v>20</v>
      </c>
      <c r="J73" s="23">
        <v>8</v>
      </c>
      <c r="K73" s="23">
        <v>14</v>
      </c>
      <c r="L73" s="23">
        <v>22</v>
      </c>
      <c r="M73" s="23">
        <v>19</v>
      </c>
      <c r="N73" s="23">
        <v>10</v>
      </c>
      <c r="O73" s="23">
        <v>28</v>
      </c>
      <c r="P73" s="28">
        <v>10</v>
      </c>
    </row>
    <row r="74" spans="1:16" x14ac:dyDescent="0.25">
      <c r="A74" s="27">
        <v>44629</v>
      </c>
      <c r="B74" s="23">
        <v>162</v>
      </c>
      <c r="C74" s="23">
        <v>122</v>
      </c>
      <c r="D74" s="23">
        <v>116</v>
      </c>
      <c r="E74" s="23">
        <v>6</v>
      </c>
      <c r="F74" s="23">
        <v>33</v>
      </c>
      <c r="G74" s="23">
        <v>7</v>
      </c>
      <c r="H74" s="23">
        <v>4</v>
      </c>
      <c r="I74" s="23">
        <v>13</v>
      </c>
      <c r="J74" s="23">
        <v>10</v>
      </c>
      <c r="K74" s="23">
        <v>13</v>
      </c>
      <c r="L74" s="23">
        <v>11</v>
      </c>
      <c r="M74" s="23">
        <v>17</v>
      </c>
      <c r="N74" s="23">
        <v>13</v>
      </c>
      <c r="O74" s="23">
        <v>25</v>
      </c>
      <c r="P74" s="28">
        <v>10</v>
      </c>
    </row>
    <row r="75" spans="1:16" x14ac:dyDescent="0.25">
      <c r="A75" s="27">
        <v>44630</v>
      </c>
      <c r="B75" s="23">
        <v>155</v>
      </c>
      <c r="C75" s="23">
        <v>128</v>
      </c>
      <c r="D75" s="23">
        <v>121</v>
      </c>
      <c r="E75" s="23">
        <v>7</v>
      </c>
      <c r="F75" s="23">
        <v>22</v>
      </c>
      <c r="G75" s="23">
        <v>5</v>
      </c>
      <c r="H75" s="23">
        <v>13</v>
      </c>
      <c r="I75" s="23">
        <v>12</v>
      </c>
      <c r="J75" s="23">
        <v>14</v>
      </c>
      <c r="K75" s="23">
        <v>11</v>
      </c>
      <c r="L75" s="23">
        <v>17</v>
      </c>
      <c r="M75" s="23">
        <v>11</v>
      </c>
      <c r="N75" s="23">
        <v>6</v>
      </c>
      <c r="O75" s="23">
        <v>28</v>
      </c>
      <c r="P75" s="28">
        <v>9</v>
      </c>
    </row>
    <row r="76" spans="1:16" x14ac:dyDescent="0.25">
      <c r="A76" s="27">
        <v>44631</v>
      </c>
      <c r="B76" s="23">
        <v>155</v>
      </c>
      <c r="C76" s="23">
        <v>130</v>
      </c>
      <c r="D76" s="23">
        <v>119</v>
      </c>
      <c r="E76" s="23">
        <v>10</v>
      </c>
      <c r="F76" s="23">
        <v>22</v>
      </c>
      <c r="G76" s="23">
        <v>3</v>
      </c>
      <c r="H76" s="23">
        <v>2</v>
      </c>
      <c r="I76" s="23">
        <v>16</v>
      </c>
      <c r="J76" s="23">
        <v>12</v>
      </c>
      <c r="K76" s="23">
        <v>13</v>
      </c>
      <c r="L76" s="23">
        <v>12</v>
      </c>
      <c r="M76" s="23">
        <v>13</v>
      </c>
      <c r="N76" s="23">
        <v>12</v>
      </c>
      <c r="O76" s="23">
        <v>29</v>
      </c>
      <c r="P76" s="28">
        <v>10</v>
      </c>
    </row>
    <row r="77" spans="1:16" x14ac:dyDescent="0.25">
      <c r="A77" s="27">
        <v>44632</v>
      </c>
      <c r="B77" s="23">
        <v>8</v>
      </c>
      <c r="C77" s="23">
        <v>7</v>
      </c>
      <c r="D77" s="23">
        <v>7</v>
      </c>
      <c r="E77" s="23">
        <v>0</v>
      </c>
      <c r="F77" s="23">
        <v>1</v>
      </c>
      <c r="G77" s="23">
        <v>0</v>
      </c>
      <c r="H77" s="23">
        <v>0</v>
      </c>
      <c r="I77" s="23">
        <v>2</v>
      </c>
      <c r="J77" s="23">
        <v>2</v>
      </c>
      <c r="K77" s="23">
        <v>1</v>
      </c>
      <c r="L77" s="23">
        <v>1</v>
      </c>
      <c r="M77" s="23">
        <v>1</v>
      </c>
      <c r="N77" s="23">
        <v>0</v>
      </c>
      <c r="O77" s="23">
        <v>0</v>
      </c>
      <c r="P77" s="28">
        <v>0</v>
      </c>
    </row>
    <row r="78" spans="1:16" x14ac:dyDescent="0.25">
      <c r="A78" s="27">
        <v>44633</v>
      </c>
      <c r="B78" s="23">
        <v>2</v>
      </c>
      <c r="C78" s="23">
        <v>2</v>
      </c>
      <c r="D78" s="23">
        <v>2</v>
      </c>
      <c r="E78" s="23">
        <v>0</v>
      </c>
      <c r="F78" s="23">
        <v>0</v>
      </c>
      <c r="G78" s="23">
        <v>0</v>
      </c>
      <c r="H78" s="23">
        <v>0</v>
      </c>
      <c r="I78" s="23">
        <v>1</v>
      </c>
      <c r="J78" s="23">
        <v>0</v>
      </c>
      <c r="K78" s="23">
        <v>0</v>
      </c>
      <c r="L78" s="23">
        <v>0</v>
      </c>
      <c r="M78" s="23">
        <v>0</v>
      </c>
      <c r="N78" s="23">
        <v>0</v>
      </c>
      <c r="O78" s="23">
        <v>1</v>
      </c>
      <c r="P78" s="28">
        <v>0</v>
      </c>
    </row>
    <row r="79" spans="1:16" x14ac:dyDescent="0.25">
      <c r="A79" s="27">
        <v>44634</v>
      </c>
      <c r="B79" s="23">
        <v>156</v>
      </c>
      <c r="C79" s="23">
        <v>132</v>
      </c>
      <c r="D79" s="23">
        <v>127</v>
      </c>
      <c r="E79" s="23">
        <v>5</v>
      </c>
      <c r="F79" s="23">
        <v>18</v>
      </c>
      <c r="G79" s="23">
        <v>6</v>
      </c>
      <c r="H79" s="23">
        <v>5</v>
      </c>
      <c r="I79" s="23">
        <v>16</v>
      </c>
      <c r="J79" s="23">
        <v>9</v>
      </c>
      <c r="K79" s="23">
        <v>15</v>
      </c>
      <c r="L79" s="23">
        <v>10</v>
      </c>
      <c r="M79" s="23">
        <v>13</v>
      </c>
      <c r="N79" s="23">
        <v>19</v>
      </c>
      <c r="O79" s="23">
        <v>20</v>
      </c>
      <c r="P79" s="28">
        <v>20</v>
      </c>
    </row>
    <row r="80" spans="1:16" x14ac:dyDescent="0.25">
      <c r="A80" s="27">
        <v>44635</v>
      </c>
      <c r="B80" s="23">
        <v>171</v>
      </c>
      <c r="C80" s="23">
        <v>141</v>
      </c>
      <c r="D80" s="23">
        <v>135</v>
      </c>
      <c r="E80" s="23">
        <v>4</v>
      </c>
      <c r="F80" s="23">
        <v>26</v>
      </c>
      <c r="G80" s="23">
        <v>4</v>
      </c>
      <c r="H80" s="23">
        <v>6</v>
      </c>
      <c r="I80" s="23">
        <v>10</v>
      </c>
      <c r="J80" s="23">
        <v>20</v>
      </c>
      <c r="K80" s="23">
        <v>14</v>
      </c>
      <c r="L80" s="23">
        <v>12</v>
      </c>
      <c r="M80" s="23">
        <v>18</v>
      </c>
      <c r="N80" s="23">
        <v>13</v>
      </c>
      <c r="O80" s="23">
        <v>22</v>
      </c>
      <c r="P80" s="28">
        <v>20</v>
      </c>
    </row>
    <row r="81" spans="1:16" x14ac:dyDescent="0.25">
      <c r="A81" s="27">
        <v>44636</v>
      </c>
      <c r="B81" s="23">
        <v>144</v>
      </c>
      <c r="C81" s="23">
        <v>114</v>
      </c>
      <c r="D81" s="23">
        <v>111</v>
      </c>
      <c r="E81" s="23">
        <v>3</v>
      </c>
      <c r="F81" s="23">
        <v>22</v>
      </c>
      <c r="G81" s="23">
        <v>8</v>
      </c>
      <c r="H81" s="23">
        <v>3</v>
      </c>
      <c r="I81" s="23">
        <v>12</v>
      </c>
      <c r="J81" s="23">
        <v>9</v>
      </c>
      <c r="K81" s="23">
        <v>10</v>
      </c>
      <c r="L81" s="23">
        <v>19</v>
      </c>
      <c r="M81" s="23">
        <v>7</v>
      </c>
      <c r="N81" s="23">
        <v>21</v>
      </c>
      <c r="O81" s="23">
        <v>20</v>
      </c>
      <c r="P81" s="28">
        <v>10</v>
      </c>
    </row>
    <row r="82" spans="1:16" x14ac:dyDescent="0.25">
      <c r="A82" s="27">
        <v>44637</v>
      </c>
      <c r="B82" s="23">
        <v>176</v>
      </c>
      <c r="C82" s="23">
        <v>150</v>
      </c>
      <c r="D82" s="23">
        <v>145</v>
      </c>
      <c r="E82" s="23">
        <v>5</v>
      </c>
      <c r="F82" s="23">
        <v>26</v>
      </c>
      <c r="G82" s="23">
        <v>0</v>
      </c>
      <c r="H82" s="23">
        <v>4</v>
      </c>
      <c r="I82" s="23">
        <v>14</v>
      </c>
      <c r="J82" s="23">
        <v>13</v>
      </c>
      <c r="K82" s="23">
        <v>11</v>
      </c>
      <c r="L82" s="23">
        <v>18</v>
      </c>
      <c r="M82" s="23">
        <v>15</v>
      </c>
      <c r="N82" s="23">
        <v>13</v>
      </c>
      <c r="O82" s="23">
        <v>31</v>
      </c>
      <c r="P82" s="28">
        <v>26</v>
      </c>
    </row>
    <row r="83" spans="1:16" x14ac:dyDescent="0.25">
      <c r="A83" s="27">
        <v>44638</v>
      </c>
      <c r="B83" s="23">
        <v>174</v>
      </c>
      <c r="C83" s="23">
        <v>137</v>
      </c>
      <c r="D83" s="23">
        <v>123</v>
      </c>
      <c r="E83" s="23">
        <v>13</v>
      </c>
      <c r="F83" s="23">
        <v>30</v>
      </c>
      <c r="G83" s="23">
        <v>7</v>
      </c>
      <c r="H83" s="23">
        <v>2</v>
      </c>
      <c r="I83" s="23">
        <v>14</v>
      </c>
      <c r="J83" s="23">
        <v>12</v>
      </c>
      <c r="K83" s="23">
        <v>17</v>
      </c>
      <c r="L83" s="23">
        <v>17</v>
      </c>
      <c r="M83" s="23">
        <v>8</v>
      </c>
      <c r="N83" s="23">
        <v>19</v>
      </c>
      <c r="O83" s="23">
        <v>20</v>
      </c>
      <c r="P83" s="28">
        <v>14</v>
      </c>
    </row>
    <row r="84" spans="1:16" x14ac:dyDescent="0.25">
      <c r="A84" s="27">
        <v>44639</v>
      </c>
      <c r="B84" s="23">
        <v>14</v>
      </c>
      <c r="C84" s="23">
        <v>12</v>
      </c>
      <c r="D84" s="23">
        <v>11</v>
      </c>
      <c r="E84" s="23">
        <v>1</v>
      </c>
      <c r="F84" s="23">
        <v>2</v>
      </c>
      <c r="G84" s="23">
        <v>0</v>
      </c>
      <c r="H84" s="23">
        <v>0</v>
      </c>
      <c r="I84" s="23">
        <v>2</v>
      </c>
      <c r="J84" s="23">
        <v>2</v>
      </c>
      <c r="K84" s="23">
        <v>0</v>
      </c>
      <c r="L84" s="23">
        <v>2</v>
      </c>
      <c r="M84" s="23">
        <v>3</v>
      </c>
      <c r="N84" s="23">
        <v>0</v>
      </c>
      <c r="O84" s="23">
        <v>0</v>
      </c>
      <c r="P84" s="28">
        <v>2</v>
      </c>
    </row>
    <row r="85" spans="1:16" x14ac:dyDescent="0.25">
      <c r="A85" s="27">
        <v>44640</v>
      </c>
      <c r="B85" s="23">
        <v>1</v>
      </c>
      <c r="C85" s="23">
        <v>1</v>
      </c>
      <c r="D85" s="23">
        <v>1</v>
      </c>
      <c r="E85" s="23">
        <v>0</v>
      </c>
      <c r="F85" s="23">
        <v>0</v>
      </c>
      <c r="G85" s="23">
        <v>0</v>
      </c>
      <c r="H85" s="23">
        <v>0</v>
      </c>
      <c r="I85" s="23">
        <v>0</v>
      </c>
      <c r="J85" s="23">
        <v>0</v>
      </c>
      <c r="K85" s="23">
        <v>1</v>
      </c>
      <c r="L85" s="23">
        <v>0</v>
      </c>
      <c r="M85" s="23">
        <v>0</v>
      </c>
      <c r="N85" s="23">
        <v>0</v>
      </c>
      <c r="O85" s="23">
        <v>0</v>
      </c>
      <c r="P85" s="28">
        <v>0</v>
      </c>
    </row>
    <row r="86" spans="1:16" x14ac:dyDescent="0.25">
      <c r="A86" s="27">
        <v>44641</v>
      </c>
      <c r="B86" s="23">
        <v>168</v>
      </c>
      <c r="C86" s="23">
        <v>123</v>
      </c>
      <c r="D86" s="23">
        <v>117</v>
      </c>
      <c r="E86" s="23">
        <v>6</v>
      </c>
      <c r="F86" s="23">
        <v>38</v>
      </c>
      <c r="G86" s="23">
        <v>7</v>
      </c>
      <c r="H86" s="23">
        <v>6</v>
      </c>
      <c r="I86" s="23">
        <v>15</v>
      </c>
      <c r="J86" s="23">
        <v>14</v>
      </c>
      <c r="K86" s="23">
        <v>10</v>
      </c>
      <c r="L86" s="23">
        <v>12</v>
      </c>
      <c r="M86" s="23">
        <v>17</v>
      </c>
      <c r="N86" s="23">
        <v>11</v>
      </c>
      <c r="O86" s="23">
        <v>20</v>
      </c>
      <c r="P86" s="28">
        <v>12</v>
      </c>
    </row>
    <row r="87" spans="1:16" x14ac:dyDescent="0.25">
      <c r="A87" s="27">
        <v>44642</v>
      </c>
      <c r="B87" s="23">
        <v>213</v>
      </c>
      <c r="C87" s="23">
        <v>168</v>
      </c>
      <c r="D87" s="23">
        <v>163</v>
      </c>
      <c r="E87" s="23">
        <v>5</v>
      </c>
      <c r="F87" s="23">
        <v>39</v>
      </c>
      <c r="G87" s="23">
        <v>6</v>
      </c>
      <c r="H87" s="23">
        <v>5</v>
      </c>
      <c r="I87" s="23">
        <v>20</v>
      </c>
      <c r="J87" s="23">
        <v>14</v>
      </c>
      <c r="K87" s="23">
        <v>13</v>
      </c>
      <c r="L87" s="23">
        <v>21</v>
      </c>
      <c r="M87" s="23">
        <v>25</v>
      </c>
      <c r="N87" s="23">
        <v>15</v>
      </c>
      <c r="O87" s="23">
        <v>30</v>
      </c>
      <c r="P87" s="28">
        <v>20</v>
      </c>
    </row>
    <row r="88" spans="1:16" x14ac:dyDescent="0.25">
      <c r="A88" s="27">
        <v>44643</v>
      </c>
      <c r="B88" s="23">
        <v>219</v>
      </c>
      <c r="C88" s="23">
        <v>166</v>
      </c>
      <c r="D88" s="23">
        <v>153</v>
      </c>
      <c r="E88" s="23">
        <v>12</v>
      </c>
      <c r="F88" s="23">
        <v>44</v>
      </c>
      <c r="G88" s="23">
        <v>9</v>
      </c>
      <c r="H88" s="23">
        <v>7</v>
      </c>
      <c r="I88" s="23">
        <v>15</v>
      </c>
      <c r="J88" s="23">
        <v>19</v>
      </c>
      <c r="K88" s="23">
        <v>13</v>
      </c>
      <c r="L88" s="23">
        <v>11</v>
      </c>
      <c r="M88" s="23">
        <v>25</v>
      </c>
      <c r="N88" s="23">
        <v>12</v>
      </c>
      <c r="O88" s="23">
        <v>31</v>
      </c>
      <c r="P88" s="28">
        <v>20</v>
      </c>
    </row>
    <row r="89" spans="1:16" x14ac:dyDescent="0.25">
      <c r="A89" s="27">
        <v>44644</v>
      </c>
      <c r="B89" s="23">
        <v>240</v>
      </c>
      <c r="C89" s="23">
        <v>191</v>
      </c>
      <c r="D89" s="23">
        <v>180</v>
      </c>
      <c r="E89" s="23">
        <v>11</v>
      </c>
      <c r="F89" s="23">
        <v>42</v>
      </c>
      <c r="G89" s="23">
        <v>7</v>
      </c>
      <c r="H89" s="23">
        <v>4</v>
      </c>
      <c r="I89" s="23">
        <v>26</v>
      </c>
      <c r="J89" s="23">
        <v>16</v>
      </c>
      <c r="K89" s="23">
        <v>20</v>
      </c>
      <c r="L89" s="23">
        <v>25</v>
      </c>
      <c r="M89" s="23">
        <v>19</v>
      </c>
      <c r="N89" s="23">
        <v>14</v>
      </c>
      <c r="O89" s="23">
        <v>30</v>
      </c>
      <c r="P89" s="28">
        <v>26</v>
      </c>
    </row>
    <row r="90" spans="1:16" x14ac:dyDescent="0.25">
      <c r="A90" s="27">
        <v>44645</v>
      </c>
      <c r="B90" s="23">
        <v>154</v>
      </c>
      <c r="C90" s="23">
        <v>119</v>
      </c>
      <c r="D90" s="23">
        <v>109</v>
      </c>
      <c r="E90" s="23">
        <v>10</v>
      </c>
      <c r="F90" s="23">
        <v>31</v>
      </c>
      <c r="G90" s="23">
        <v>4</v>
      </c>
      <c r="H90" s="23">
        <v>4</v>
      </c>
      <c r="I90" s="23">
        <v>17</v>
      </c>
      <c r="J90" s="23">
        <v>15</v>
      </c>
      <c r="K90" s="23">
        <v>9</v>
      </c>
      <c r="L90" s="23">
        <v>10</v>
      </c>
      <c r="M90" s="23">
        <v>13</v>
      </c>
      <c r="N90" s="23">
        <v>14</v>
      </c>
      <c r="O90" s="23">
        <v>15</v>
      </c>
      <c r="P90" s="28">
        <v>12</v>
      </c>
    </row>
    <row r="91" spans="1:16" x14ac:dyDescent="0.25">
      <c r="A91" s="27">
        <v>44646</v>
      </c>
      <c r="B91" s="23">
        <v>10</v>
      </c>
      <c r="C91" s="23">
        <v>10</v>
      </c>
      <c r="D91" s="23">
        <v>9</v>
      </c>
      <c r="E91" s="23">
        <v>1</v>
      </c>
      <c r="F91" s="23">
        <v>0</v>
      </c>
      <c r="G91" s="23">
        <v>0</v>
      </c>
      <c r="H91" s="23">
        <v>0</v>
      </c>
      <c r="I91" s="23">
        <v>1</v>
      </c>
      <c r="J91" s="23">
        <v>1</v>
      </c>
      <c r="K91" s="23">
        <v>1</v>
      </c>
      <c r="L91" s="23">
        <v>3</v>
      </c>
      <c r="M91" s="23">
        <v>2</v>
      </c>
      <c r="N91" s="23">
        <v>1</v>
      </c>
      <c r="O91" s="23">
        <v>0</v>
      </c>
      <c r="P91" s="28">
        <v>0</v>
      </c>
    </row>
    <row r="92" spans="1:16" x14ac:dyDescent="0.25">
      <c r="A92" s="27">
        <v>44647</v>
      </c>
      <c r="B92" s="23">
        <v>0</v>
      </c>
      <c r="C92" s="23">
        <v>0</v>
      </c>
      <c r="D92" s="23">
        <v>0</v>
      </c>
      <c r="E92" s="23">
        <v>0</v>
      </c>
      <c r="F92" s="23">
        <v>0</v>
      </c>
      <c r="G92" s="23">
        <v>0</v>
      </c>
      <c r="H92" s="23">
        <v>0</v>
      </c>
      <c r="I92" s="23">
        <v>0</v>
      </c>
      <c r="J92" s="23">
        <v>0</v>
      </c>
      <c r="K92" s="23">
        <v>0</v>
      </c>
      <c r="L92" s="23">
        <v>0</v>
      </c>
      <c r="M92" s="23">
        <v>0</v>
      </c>
      <c r="N92" s="23">
        <v>0</v>
      </c>
      <c r="O92" s="23">
        <v>0</v>
      </c>
      <c r="P92" s="28">
        <v>0</v>
      </c>
    </row>
    <row r="93" spans="1:16" x14ac:dyDescent="0.25">
      <c r="A93" s="27">
        <v>44648</v>
      </c>
      <c r="B93" s="23">
        <v>195</v>
      </c>
      <c r="C93" s="23">
        <v>152</v>
      </c>
      <c r="D93" s="23">
        <v>145</v>
      </c>
      <c r="E93" s="23">
        <v>6</v>
      </c>
      <c r="F93" s="23">
        <v>34</v>
      </c>
      <c r="G93" s="23">
        <v>9</v>
      </c>
      <c r="H93" s="23">
        <v>5</v>
      </c>
      <c r="I93" s="23">
        <v>18</v>
      </c>
      <c r="J93" s="23">
        <v>13</v>
      </c>
      <c r="K93" s="23">
        <v>14</v>
      </c>
      <c r="L93" s="23">
        <v>13</v>
      </c>
      <c r="M93" s="23">
        <v>19</v>
      </c>
      <c r="N93" s="23">
        <v>16</v>
      </c>
      <c r="O93" s="23">
        <v>28</v>
      </c>
      <c r="P93" s="28">
        <v>19</v>
      </c>
    </row>
    <row r="94" spans="1:16" x14ac:dyDescent="0.25">
      <c r="A94" s="27">
        <v>44649</v>
      </c>
      <c r="B94" s="23">
        <v>211</v>
      </c>
      <c r="C94" s="23">
        <v>167</v>
      </c>
      <c r="D94" s="23">
        <v>150</v>
      </c>
      <c r="E94" s="23">
        <v>16</v>
      </c>
      <c r="F94" s="23">
        <v>36</v>
      </c>
      <c r="G94" s="23">
        <v>8</v>
      </c>
      <c r="H94" s="23">
        <v>8</v>
      </c>
      <c r="I94" s="23">
        <v>16</v>
      </c>
      <c r="J94" s="23">
        <v>21</v>
      </c>
      <c r="K94" s="23">
        <v>8</v>
      </c>
      <c r="L94" s="23">
        <v>17</v>
      </c>
      <c r="M94" s="23">
        <v>24</v>
      </c>
      <c r="N94" s="23">
        <v>8</v>
      </c>
      <c r="O94" s="23">
        <v>32</v>
      </c>
      <c r="P94" s="28">
        <v>16</v>
      </c>
    </row>
    <row r="95" spans="1:16" x14ac:dyDescent="0.25">
      <c r="A95" s="27">
        <v>44650</v>
      </c>
      <c r="B95" s="23">
        <v>203</v>
      </c>
      <c r="C95" s="23">
        <v>167</v>
      </c>
      <c r="D95" s="23">
        <v>150</v>
      </c>
      <c r="E95" s="23">
        <v>17</v>
      </c>
      <c r="F95" s="23">
        <v>31</v>
      </c>
      <c r="G95" s="23">
        <v>5</v>
      </c>
      <c r="H95" s="23">
        <v>5</v>
      </c>
      <c r="I95" s="23">
        <v>26</v>
      </c>
      <c r="J95" s="23">
        <v>17</v>
      </c>
      <c r="K95" s="23">
        <v>9</v>
      </c>
      <c r="L95" s="23">
        <v>13</v>
      </c>
      <c r="M95" s="23">
        <v>18</v>
      </c>
      <c r="N95" s="23">
        <v>10</v>
      </c>
      <c r="O95" s="23">
        <v>25</v>
      </c>
      <c r="P95" s="28">
        <v>27</v>
      </c>
    </row>
    <row r="96" spans="1:16" x14ac:dyDescent="0.25">
      <c r="A96" s="27">
        <v>44651</v>
      </c>
      <c r="B96" s="23">
        <v>227</v>
      </c>
      <c r="C96" s="23">
        <v>179</v>
      </c>
      <c r="D96" s="23">
        <v>169</v>
      </c>
      <c r="E96" s="23">
        <v>10</v>
      </c>
      <c r="F96" s="23">
        <v>39</v>
      </c>
      <c r="G96" s="23">
        <v>9</v>
      </c>
      <c r="H96" s="23">
        <v>3</v>
      </c>
      <c r="I96" s="23">
        <v>32</v>
      </c>
      <c r="J96" s="23">
        <v>21</v>
      </c>
      <c r="K96" s="23">
        <v>16</v>
      </c>
      <c r="L96" s="23">
        <v>17</v>
      </c>
      <c r="M96" s="23">
        <v>16</v>
      </c>
      <c r="N96" s="23">
        <v>10</v>
      </c>
      <c r="O96" s="23">
        <v>26</v>
      </c>
      <c r="P96" s="28">
        <v>28</v>
      </c>
    </row>
    <row r="97" spans="1:16" x14ac:dyDescent="0.25">
      <c r="A97" s="27">
        <v>44652</v>
      </c>
      <c r="B97" s="23">
        <v>219</v>
      </c>
      <c r="C97" s="23">
        <v>178</v>
      </c>
      <c r="D97" s="23">
        <v>166</v>
      </c>
      <c r="E97" s="23">
        <v>11</v>
      </c>
      <c r="F97" s="23">
        <v>34</v>
      </c>
      <c r="G97" s="23">
        <v>7</v>
      </c>
      <c r="H97" s="23">
        <v>13</v>
      </c>
      <c r="I97" s="23">
        <v>33</v>
      </c>
      <c r="J97" s="23">
        <v>14</v>
      </c>
      <c r="K97" s="23">
        <v>13</v>
      </c>
      <c r="L97" s="23">
        <v>15</v>
      </c>
      <c r="M97" s="23">
        <v>18</v>
      </c>
      <c r="N97" s="23">
        <v>15</v>
      </c>
      <c r="O97" s="23">
        <v>26</v>
      </c>
      <c r="P97" s="28">
        <v>19</v>
      </c>
    </row>
    <row r="98" spans="1:16" x14ac:dyDescent="0.25">
      <c r="A98" s="27">
        <v>44653</v>
      </c>
      <c r="B98" s="23">
        <v>7</v>
      </c>
      <c r="C98" s="23">
        <v>7</v>
      </c>
      <c r="D98" s="23">
        <v>7</v>
      </c>
      <c r="E98" s="23">
        <v>0</v>
      </c>
      <c r="F98" s="23">
        <v>0</v>
      </c>
      <c r="G98" s="23">
        <v>0</v>
      </c>
      <c r="H98" s="23">
        <v>1</v>
      </c>
      <c r="I98" s="23">
        <v>2</v>
      </c>
      <c r="J98" s="23">
        <v>1</v>
      </c>
      <c r="K98" s="23">
        <v>0</v>
      </c>
      <c r="L98" s="23">
        <v>1</v>
      </c>
      <c r="M98" s="23">
        <v>2</v>
      </c>
      <c r="N98" s="23">
        <v>0</v>
      </c>
      <c r="O98" s="23">
        <v>0</v>
      </c>
      <c r="P98" s="28">
        <v>0</v>
      </c>
    </row>
    <row r="99" spans="1:16" x14ac:dyDescent="0.25">
      <c r="A99" s="27">
        <v>44654</v>
      </c>
      <c r="B99" s="23">
        <v>0</v>
      </c>
      <c r="C99" s="23">
        <v>0</v>
      </c>
      <c r="D99" s="23">
        <v>0</v>
      </c>
      <c r="E99" s="23">
        <v>0</v>
      </c>
      <c r="F99" s="23">
        <v>0</v>
      </c>
      <c r="G99" s="23">
        <v>0</v>
      </c>
      <c r="H99" s="23">
        <v>0</v>
      </c>
      <c r="I99" s="23">
        <v>0</v>
      </c>
      <c r="J99" s="23">
        <v>0</v>
      </c>
      <c r="K99" s="23">
        <v>0</v>
      </c>
      <c r="L99" s="23">
        <v>0</v>
      </c>
      <c r="M99" s="23">
        <v>0</v>
      </c>
      <c r="N99" s="23">
        <v>0</v>
      </c>
      <c r="O99" s="23">
        <v>0</v>
      </c>
      <c r="P99" s="28">
        <v>0</v>
      </c>
    </row>
    <row r="100" spans="1:16" x14ac:dyDescent="0.25">
      <c r="A100" s="27">
        <v>44655</v>
      </c>
      <c r="B100" s="23">
        <v>181</v>
      </c>
      <c r="C100" s="23">
        <v>138</v>
      </c>
      <c r="D100" s="23">
        <v>134</v>
      </c>
      <c r="E100" s="23">
        <v>4</v>
      </c>
      <c r="F100" s="23">
        <v>36</v>
      </c>
      <c r="G100" s="23">
        <v>7</v>
      </c>
      <c r="H100" s="23">
        <v>7</v>
      </c>
      <c r="I100" s="23">
        <v>24</v>
      </c>
      <c r="J100" s="23">
        <v>19</v>
      </c>
      <c r="K100" s="23">
        <v>14</v>
      </c>
      <c r="L100" s="23">
        <v>8</v>
      </c>
      <c r="M100" s="23">
        <v>12</v>
      </c>
      <c r="N100" s="23">
        <v>10</v>
      </c>
      <c r="O100" s="23">
        <v>18</v>
      </c>
      <c r="P100" s="28">
        <v>22</v>
      </c>
    </row>
    <row r="101" spans="1:16" x14ac:dyDescent="0.25">
      <c r="A101" s="27">
        <v>44656</v>
      </c>
      <c r="B101" s="23">
        <v>219</v>
      </c>
      <c r="C101" s="23">
        <v>184</v>
      </c>
      <c r="D101" s="23">
        <v>173</v>
      </c>
      <c r="E101" s="23">
        <v>11</v>
      </c>
      <c r="F101" s="23">
        <v>27</v>
      </c>
      <c r="G101" s="23">
        <v>8</v>
      </c>
      <c r="H101" s="23">
        <v>7</v>
      </c>
      <c r="I101" s="23">
        <v>17</v>
      </c>
      <c r="J101" s="23">
        <v>25</v>
      </c>
      <c r="K101" s="23">
        <v>13</v>
      </c>
      <c r="L101" s="23">
        <v>12</v>
      </c>
      <c r="M101" s="23">
        <v>20</v>
      </c>
      <c r="N101" s="23">
        <v>26</v>
      </c>
      <c r="O101" s="23">
        <v>29</v>
      </c>
      <c r="P101" s="28">
        <v>24</v>
      </c>
    </row>
    <row r="102" spans="1:16" x14ac:dyDescent="0.25">
      <c r="A102" s="27">
        <v>44657</v>
      </c>
      <c r="B102" s="23">
        <v>240</v>
      </c>
      <c r="C102" s="23">
        <v>208</v>
      </c>
      <c r="D102" s="23">
        <v>195</v>
      </c>
      <c r="E102" s="23">
        <v>12</v>
      </c>
      <c r="F102" s="23">
        <v>28</v>
      </c>
      <c r="G102" s="23">
        <v>4</v>
      </c>
      <c r="H102" s="23">
        <v>8</v>
      </c>
      <c r="I102" s="23">
        <v>27</v>
      </c>
      <c r="J102" s="23">
        <v>26</v>
      </c>
      <c r="K102" s="23">
        <v>16</v>
      </c>
      <c r="L102" s="23">
        <v>21</v>
      </c>
      <c r="M102" s="23">
        <v>20</v>
      </c>
      <c r="N102" s="23">
        <v>19</v>
      </c>
      <c r="O102" s="23">
        <v>23</v>
      </c>
      <c r="P102" s="28">
        <v>35</v>
      </c>
    </row>
    <row r="103" spans="1:16" x14ac:dyDescent="0.25">
      <c r="A103" s="27">
        <v>44658</v>
      </c>
      <c r="B103" s="23">
        <v>255</v>
      </c>
      <c r="C103" s="23">
        <v>219</v>
      </c>
      <c r="D103" s="23">
        <v>209</v>
      </c>
      <c r="E103" s="23">
        <v>10</v>
      </c>
      <c r="F103" s="23">
        <v>30</v>
      </c>
      <c r="G103" s="23">
        <v>6</v>
      </c>
      <c r="H103" s="23">
        <v>15</v>
      </c>
      <c r="I103" s="23">
        <v>29</v>
      </c>
      <c r="J103" s="23">
        <v>22</v>
      </c>
      <c r="K103" s="23">
        <v>15</v>
      </c>
      <c r="L103" s="23">
        <v>26</v>
      </c>
      <c r="M103" s="23">
        <v>19</v>
      </c>
      <c r="N103" s="23">
        <v>14</v>
      </c>
      <c r="O103" s="23">
        <v>33</v>
      </c>
      <c r="P103" s="28">
        <v>36</v>
      </c>
    </row>
    <row r="104" spans="1:16" x14ac:dyDescent="0.25">
      <c r="A104" s="27">
        <v>44659</v>
      </c>
      <c r="B104" s="23">
        <v>233</v>
      </c>
      <c r="C104" s="23">
        <v>204</v>
      </c>
      <c r="D104" s="23">
        <v>185</v>
      </c>
      <c r="E104" s="23">
        <v>19</v>
      </c>
      <c r="F104" s="23">
        <v>22</v>
      </c>
      <c r="G104" s="23">
        <v>7</v>
      </c>
      <c r="H104" s="23">
        <v>12</v>
      </c>
      <c r="I104" s="23">
        <v>21</v>
      </c>
      <c r="J104" s="23">
        <v>22</v>
      </c>
      <c r="K104" s="23">
        <v>15</v>
      </c>
      <c r="L104" s="23">
        <v>15</v>
      </c>
      <c r="M104" s="23">
        <v>22</v>
      </c>
      <c r="N104" s="23">
        <v>22</v>
      </c>
      <c r="O104" s="23">
        <v>30</v>
      </c>
      <c r="P104" s="28">
        <v>26</v>
      </c>
    </row>
    <row r="105" spans="1:16" x14ac:dyDescent="0.25">
      <c r="A105" s="27">
        <v>44660</v>
      </c>
      <c r="B105" s="23">
        <v>16</v>
      </c>
      <c r="C105" s="23">
        <v>16</v>
      </c>
      <c r="D105" s="23">
        <v>16</v>
      </c>
      <c r="E105" s="23">
        <v>0</v>
      </c>
      <c r="F105" s="23">
        <v>0</v>
      </c>
      <c r="G105" s="23">
        <v>0</v>
      </c>
      <c r="H105" s="23">
        <v>1</v>
      </c>
      <c r="I105" s="23">
        <v>4</v>
      </c>
      <c r="J105" s="23">
        <v>1</v>
      </c>
      <c r="K105" s="23">
        <v>2</v>
      </c>
      <c r="L105" s="23">
        <v>0</v>
      </c>
      <c r="M105" s="23">
        <v>7</v>
      </c>
      <c r="N105" s="23">
        <v>1</v>
      </c>
      <c r="O105" s="23">
        <v>0</v>
      </c>
      <c r="P105" s="28">
        <v>0</v>
      </c>
    </row>
    <row r="106" spans="1:16" x14ac:dyDescent="0.25">
      <c r="A106" s="27">
        <v>44661</v>
      </c>
      <c r="B106" s="23">
        <v>1</v>
      </c>
      <c r="C106" s="23">
        <v>1</v>
      </c>
      <c r="D106" s="23">
        <v>1</v>
      </c>
      <c r="E106" s="23">
        <v>0</v>
      </c>
      <c r="F106" s="23">
        <v>0</v>
      </c>
      <c r="G106" s="23">
        <v>0</v>
      </c>
      <c r="H106" s="23">
        <v>1</v>
      </c>
      <c r="I106" s="23">
        <v>0</v>
      </c>
      <c r="J106" s="23">
        <v>0</v>
      </c>
      <c r="K106" s="23">
        <v>0</v>
      </c>
      <c r="L106" s="23">
        <v>0</v>
      </c>
      <c r="M106" s="23">
        <v>0</v>
      </c>
      <c r="N106" s="23">
        <v>0</v>
      </c>
      <c r="O106" s="23">
        <v>0</v>
      </c>
      <c r="P106" s="28">
        <v>0</v>
      </c>
    </row>
    <row r="107" spans="1:16" x14ac:dyDescent="0.25">
      <c r="A107" s="27">
        <v>44662</v>
      </c>
      <c r="B107" s="23">
        <v>255</v>
      </c>
      <c r="C107" s="23">
        <v>212</v>
      </c>
      <c r="D107" s="23">
        <v>202</v>
      </c>
      <c r="E107" s="23">
        <v>9</v>
      </c>
      <c r="F107" s="23">
        <v>32</v>
      </c>
      <c r="G107" s="23">
        <v>11</v>
      </c>
      <c r="H107" s="23">
        <v>8</v>
      </c>
      <c r="I107" s="23">
        <v>22</v>
      </c>
      <c r="J107" s="23">
        <v>23</v>
      </c>
      <c r="K107" s="23">
        <v>20</v>
      </c>
      <c r="L107" s="23">
        <v>28</v>
      </c>
      <c r="M107" s="23">
        <v>25</v>
      </c>
      <c r="N107" s="23">
        <v>19</v>
      </c>
      <c r="O107" s="23">
        <v>34</v>
      </c>
      <c r="P107" s="28">
        <v>23</v>
      </c>
    </row>
    <row r="108" spans="1:16" x14ac:dyDescent="0.25">
      <c r="A108" s="27">
        <v>44663</v>
      </c>
      <c r="B108" s="23">
        <v>296</v>
      </c>
      <c r="C108" s="23">
        <v>262</v>
      </c>
      <c r="D108" s="23">
        <v>250</v>
      </c>
      <c r="E108" s="23">
        <v>12</v>
      </c>
      <c r="F108" s="23">
        <v>32</v>
      </c>
      <c r="G108" s="23">
        <v>2</v>
      </c>
      <c r="H108" s="23">
        <v>11</v>
      </c>
      <c r="I108" s="23">
        <v>30</v>
      </c>
      <c r="J108" s="23">
        <v>32</v>
      </c>
      <c r="K108" s="23">
        <v>25</v>
      </c>
      <c r="L108" s="23">
        <v>27</v>
      </c>
      <c r="M108" s="23">
        <v>32</v>
      </c>
      <c r="N108" s="23">
        <v>24</v>
      </c>
      <c r="O108" s="23">
        <v>39</v>
      </c>
      <c r="P108" s="28">
        <v>30</v>
      </c>
    </row>
    <row r="109" spans="1:16" x14ac:dyDescent="0.25">
      <c r="A109" s="27">
        <v>44664</v>
      </c>
      <c r="B109" s="23">
        <v>260</v>
      </c>
      <c r="C109" s="23">
        <v>233</v>
      </c>
      <c r="D109" s="23">
        <v>220</v>
      </c>
      <c r="E109" s="23">
        <v>13</v>
      </c>
      <c r="F109" s="23">
        <v>24</v>
      </c>
      <c r="G109" s="23">
        <v>3</v>
      </c>
      <c r="H109" s="23">
        <v>8</v>
      </c>
      <c r="I109" s="23">
        <v>31</v>
      </c>
      <c r="J109" s="23">
        <v>27</v>
      </c>
      <c r="K109" s="23">
        <v>17</v>
      </c>
      <c r="L109" s="23">
        <v>19</v>
      </c>
      <c r="M109" s="23">
        <v>28</v>
      </c>
      <c r="N109" s="23">
        <v>21</v>
      </c>
      <c r="O109" s="23">
        <v>27</v>
      </c>
      <c r="P109" s="28">
        <v>42</v>
      </c>
    </row>
    <row r="110" spans="1:16" x14ac:dyDescent="0.25">
      <c r="A110" s="27">
        <v>44665</v>
      </c>
      <c r="B110" s="23">
        <v>312</v>
      </c>
      <c r="C110" s="23">
        <v>274</v>
      </c>
      <c r="D110" s="23">
        <v>257</v>
      </c>
      <c r="E110" s="23">
        <v>17</v>
      </c>
      <c r="F110" s="23">
        <v>35</v>
      </c>
      <c r="G110" s="23">
        <v>3</v>
      </c>
      <c r="H110" s="23">
        <v>21</v>
      </c>
      <c r="I110" s="23">
        <v>24</v>
      </c>
      <c r="J110" s="23">
        <v>32</v>
      </c>
      <c r="K110" s="23">
        <v>21</v>
      </c>
      <c r="L110" s="23">
        <v>28</v>
      </c>
      <c r="M110" s="23">
        <v>34</v>
      </c>
      <c r="N110" s="23">
        <v>19</v>
      </c>
      <c r="O110" s="23">
        <v>48</v>
      </c>
      <c r="P110" s="28">
        <v>30</v>
      </c>
    </row>
    <row r="111" spans="1:16" x14ac:dyDescent="0.25">
      <c r="A111" s="27">
        <v>44666</v>
      </c>
      <c r="B111" s="23">
        <v>14</v>
      </c>
      <c r="C111" s="23">
        <v>5</v>
      </c>
      <c r="D111" s="23">
        <v>5</v>
      </c>
      <c r="E111" s="23">
        <v>0</v>
      </c>
      <c r="F111" s="23">
        <v>8</v>
      </c>
      <c r="G111" s="23">
        <v>1</v>
      </c>
      <c r="H111" s="23">
        <v>0</v>
      </c>
      <c r="I111" s="23">
        <v>0</v>
      </c>
      <c r="J111" s="23">
        <v>0</v>
      </c>
      <c r="K111" s="23">
        <v>0</v>
      </c>
      <c r="L111" s="23">
        <v>0</v>
      </c>
      <c r="M111" s="23">
        <v>5</v>
      </c>
      <c r="N111" s="23">
        <v>0</v>
      </c>
      <c r="O111" s="23">
        <v>0</v>
      </c>
      <c r="P111" s="28">
        <v>0</v>
      </c>
    </row>
    <row r="112" spans="1:16" x14ac:dyDescent="0.25">
      <c r="A112" s="27">
        <v>44667</v>
      </c>
      <c r="B112" s="23">
        <v>18</v>
      </c>
      <c r="C112" s="23">
        <v>18</v>
      </c>
      <c r="D112" s="23">
        <v>16</v>
      </c>
      <c r="E112" s="23">
        <v>2</v>
      </c>
      <c r="F112" s="23">
        <v>0</v>
      </c>
      <c r="G112" s="23">
        <v>0</v>
      </c>
      <c r="H112" s="23">
        <v>2</v>
      </c>
      <c r="I112" s="23">
        <v>3</v>
      </c>
      <c r="J112" s="23">
        <v>0</v>
      </c>
      <c r="K112" s="23">
        <v>2</v>
      </c>
      <c r="L112" s="23">
        <v>3</v>
      </c>
      <c r="M112" s="23">
        <v>4</v>
      </c>
      <c r="N112" s="23">
        <v>1</v>
      </c>
      <c r="O112" s="23">
        <v>0</v>
      </c>
      <c r="P112" s="28">
        <v>1</v>
      </c>
    </row>
    <row r="113" spans="1:16" x14ac:dyDescent="0.25">
      <c r="A113" s="27">
        <v>44668</v>
      </c>
      <c r="B113" s="23">
        <v>0</v>
      </c>
      <c r="C113" s="23">
        <v>0</v>
      </c>
      <c r="D113" s="23">
        <v>0</v>
      </c>
      <c r="E113" s="23">
        <v>0</v>
      </c>
      <c r="F113" s="23">
        <v>0</v>
      </c>
      <c r="G113" s="23">
        <v>0</v>
      </c>
      <c r="H113" s="23">
        <v>0</v>
      </c>
      <c r="I113" s="23">
        <v>0</v>
      </c>
      <c r="J113" s="23">
        <v>0</v>
      </c>
      <c r="K113" s="23">
        <v>0</v>
      </c>
      <c r="L113" s="23">
        <v>0</v>
      </c>
      <c r="M113" s="23">
        <v>0</v>
      </c>
      <c r="N113" s="23">
        <v>0</v>
      </c>
      <c r="O113" s="23">
        <v>0</v>
      </c>
      <c r="P113" s="28">
        <v>0</v>
      </c>
    </row>
    <row r="114" spans="1:16" x14ac:dyDescent="0.25">
      <c r="A114" s="27">
        <v>44669</v>
      </c>
      <c r="B114" s="23">
        <v>11</v>
      </c>
      <c r="C114" s="23">
        <v>3</v>
      </c>
      <c r="D114" s="23">
        <v>3</v>
      </c>
      <c r="E114" s="23">
        <v>0</v>
      </c>
      <c r="F114" s="23">
        <v>8</v>
      </c>
      <c r="G114" s="23">
        <v>0</v>
      </c>
      <c r="H114" s="23">
        <v>1</v>
      </c>
      <c r="I114" s="23">
        <v>0</v>
      </c>
      <c r="J114" s="23">
        <v>0</v>
      </c>
      <c r="K114" s="23">
        <v>0</v>
      </c>
      <c r="L114" s="23">
        <v>0</v>
      </c>
      <c r="M114" s="23">
        <v>2</v>
      </c>
      <c r="N114" s="23">
        <v>0</v>
      </c>
      <c r="O114" s="23">
        <v>0</v>
      </c>
      <c r="P114" s="28">
        <v>0</v>
      </c>
    </row>
    <row r="115" spans="1:16" x14ac:dyDescent="0.25">
      <c r="A115" s="27">
        <v>44670</v>
      </c>
      <c r="B115" s="23">
        <v>296</v>
      </c>
      <c r="C115" s="23">
        <v>256</v>
      </c>
      <c r="D115" s="23">
        <v>234</v>
      </c>
      <c r="E115" s="23">
        <v>22</v>
      </c>
      <c r="F115" s="23">
        <v>38</v>
      </c>
      <c r="G115" s="23">
        <v>2</v>
      </c>
      <c r="H115" s="23">
        <v>14</v>
      </c>
      <c r="I115" s="23">
        <v>27</v>
      </c>
      <c r="J115" s="23">
        <v>20</v>
      </c>
      <c r="K115" s="23">
        <v>20</v>
      </c>
      <c r="L115" s="23">
        <v>20</v>
      </c>
      <c r="M115" s="23">
        <v>23</v>
      </c>
      <c r="N115" s="23">
        <v>26</v>
      </c>
      <c r="O115" s="23">
        <v>50</v>
      </c>
      <c r="P115" s="28">
        <v>34</v>
      </c>
    </row>
    <row r="116" spans="1:16" x14ac:dyDescent="0.25">
      <c r="A116" s="27">
        <v>44671</v>
      </c>
      <c r="B116" s="23">
        <v>294</v>
      </c>
      <c r="C116" s="23">
        <v>257</v>
      </c>
      <c r="D116" s="23">
        <v>239</v>
      </c>
      <c r="E116" s="23">
        <v>18</v>
      </c>
      <c r="F116" s="23">
        <v>30</v>
      </c>
      <c r="G116" s="23">
        <v>7</v>
      </c>
      <c r="H116" s="23">
        <v>10</v>
      </c>
      <c r="I116" s="23">
        <v>16</v>
      </c>
      <c r="J116" s="23">
        <v>22</v>
      </c>
      <c r="K116" s="23">
        <v>25</v>
      </c>
      <c r="L116" s="23">
        <v>38</v>
      </c>
      <c r="M116" s="23">
        <v>39</v>
      </c>
      <c r="N116" s="23">
        <v>19</v>
      </c>
      <c r="O116" s="23">
        <v>31</v>
      </c>
      <c r="P116" s="28">
        <v>39</v>
      </c>
    </row>
    <row r="117" spans="1:16" x14ac:dyDescent="0.25">
      <c r="A117" s="27">
        <v>44672</v>
      </c>
      <c r="B117" s="23">
        <v>307</v>
      </c>
      <c r="C117" s="23">
        <v>276</v>
      </c>
      <c r="D117" s="23">
        <v>259</v>
      </c>
      <c r="E117" s="23">
        <v>16</v>
      </c>
      <c r="F117" s="23">
        <v>23</v>
      </c>
      <c r="G117" s="23">
        <v>8</v>
      </c>
      <c r="H117" s="23">
        <v>23</v>
      </c>
      <c r="I117" s="23">
        <v>40</v>
      </c>
      <c r="J117" s="23">
        <v>22</v>
      </c>
      <c r="K117" s="23">
        <v>21</v>
      </c>
      <c r="L117" s="23">
        <v>32</v>
      </c>
      <c r="M117" s="23">
        <v>32</v>
      </c>
      <c r="N117" s="23">
        <v>21</v>
      </c>
      <c r="O117" s="23">
        <v>31</v>
      </c>
      <c r="P117" s="28">
        <v>37</v>
      </c>
    </row>
    <row r="118" spans="1:16" x14ac:dyDescent="0.25">
      <c r="A118" s="27">
        <v>44673</v>
      </c>
      <c r="B118" s="23">
        <v>260</v>
      </c>
      <c r="C118" s="23">
        <v>232</v>
      </c>
      <c r="D118" s="23">
        <v>219</v>
      </c>
      <c r="E118" s="23">
        <v>12</v>
      </c>
      <c r="F118" s="23">
        <v>23</v>
      </c>
      <c r="G118" s="23">
        <v>5</v>
      </c>
      <c r="H118" s="23">
        <v>10</v>
      </c>
      <c r="I118" s="23">
        <v>31</v>
      </c>
      <c r="J118" s="23">
        <v>17</v>
      </c>
      <c r="K118" s="23">
        <v>25</v>
      </c>
      <c r="L118" s="23">
        <v>19</v>
      </c>
      <c r="M118" s="23">
        <v>27</v>
      </c>
      <c r="N118" s="23">
        <v>19</v>
      </c>
      <c r="O118" s="23">
        <v>42</v>
      </c>
      <c r="P118" s="28">
        <v>29</v>
      </c>
    </row>
    <row r="119" spans="1:16" x14ac:dyDescent="0.25">
      <c r="A119" s="27">
        <v>44674</v>
      </c>
      <c r="B119" s="23">
        <v>17</v>
      </c>
      <c r="C119" s="23">
        <v>16</v>
      </c>
      <c r="D119" s="23">
        <v>16</v>
      </c>
      <c r="E119" s="23">
        <v>0</v>
      </c>
      <c r="F119" s="23">
        <v>1</v>
      </c>
      <c r="G119" s="23">
        <v>0</v>
      </c>
      <c r="H119" s="23">
        <v>1</v>
      </c>
      <c r="I119" s="23">
        <v>4</v>
      </c>
      <c r="J119" s="23">
        <v>2</v>
      </c>
      <c r="K119" s="23">
        <v>3</v>
      </c>
      <c r="L119" s="23">
        <v>1</v>
      </c>
      <c r="M119" s="23">
        <v>2</v>
      </c>
      <c r="N119" s="23">
        <v>3</v>
      </c>
      <c r="O119" s="23">
        <v>0</v>
      </c>
      <c r="P119" s="28">
        <v>0</v>
      </c>
    </row>
    <row r="120" spans="1:16" x14ac:dyDescent="0.25">
      <c r="A120" s="27">
        <v>44675</v>
      </c>
      <c r="B120" s="23">
        <v>2</v>
      </c>
      <c r="C120" s="23">
        <v>1</v>
      </c>
      <c r="D120" s="23">
        <v>1</v>
      </c>
      <c r="E120" s="23">
        <v>0</v>
      </c>
      <c r="F120" s="23">
        <v>1</v>
      </c>
      <c r="G120" s="23">
        <v>0</v>
      </c>
      <c r="H120" s="23">
        <v>0</v>
      </c>
      <c r="I120" s="23">
        <v>0</v>
      </c>
      <c r="J120" s="23">
        <v>0</v>
      </c>
      <c r="K120" s="23">
        <v>0</v>
      </c>
      <c r="L120" s="23">
        <v>0</v>
      </c>
      <c r="M120" s="23">
        <v>1</v>
      </c>
      <c r="N120" s="23">
        <v>0</v>
      </c>
      <c r="O120" s="23">
        <v>0</v>
      </c>
      <c r="P120" s="28">
        <v>0</v>
      </c>
    </row>
    <row r="121" spans="1:16" x14ac:dyDescent="0.25">
      <c r="A121" s="27">
        <v>44676</v>
      </c>
      <c r="B121" s="23">
        <v>253</v>
      </c>
      <c r="C121" s="23">
        <v>228</v>
      </c>
      <c r="D121" s="23">
        <v>212</v>
      </c>
      <c r="E121" s="23">
        <v>16</v>
      </c>
      <c r="F121" s="23">
        <v>19</v>
      </c>
      <c r="G121" s="23">
        <v>6</v>
      </c>
      <c r="H121" s="23">
        <v>9</v>
      </c>
      <c r="I121" s="23">
        <v>29</v>
      </c>
      <c r="J121" s="23">
        <v>30</v>
      </c>
      <c r="K121" s="23">
        <v>23</v>
      </c>
      <c r="L121" s="23">
        <v>24</v>
      </c>
      <c r="M121" s="23">
        <v>27</v>
      </c>
      <c r="N121" s="23">
        <v>16</v>
      </c>
      <c r="O121" s="23">
        <v>33</v>
      </c>
      <c r="P121" s="28">
        <v>21</v>
      </c>
    </row>
    <row r="122" spans="1:16" x14ac:dyDescent="0.25">
      <c r="A122" s="27">
        <v>44677</v>
      </c>
      <c r="B122" s="23">
        <v>258</v>
      </c>
      <c r="C122" s="23">
        <v>228</v>
      </c>
      <c r="D122" s="23">
        <v>217</v>
      </c>
      <c r="E122" s="23">
        <v>11</v>
      </c>
      <c r="F122" s="23">
        <v>21</v>
      </c>
      <c r="G122" s="23">
        <v>9</v>
      </c>
      <c r="H122" s="23">
        <v>6</v>
      </c>
      <c r="I122" s="23">
        <v>25</v>
      </c>
      <c r="J122" s="23">
        <v>30</v>
      </c>
      <c r="K122" s="23">
        <v>12</v>
      </c>
      <c r="L122" s="23">
        <v>17</v>
      </c>
      <c r="M122" s="23">
        <v>23</v>
      </c>
      <c r="N122" s="23">
        <v>16</v>
      </c>
      <c r="O122" s="23">
        <v>54</v>
      </c>
      <c r="P122" s="28">
        <v>34</v>
      </c>
    </row>
    <row r="123" spans="1:16" x14ac:dyDescent="0.25">
      <c r="A123" s="27">
        <v>44678</v>
      </c>
      <c r="B123" s="23">
        <v>239</v>
      </c>
      <c r="C123" s="23">
        <v>215</v>
      </c>
      <c r="D123" s="23">
        <v>203</v>
      </c>
      <c r="E123" s="23">
        <v>10</v>
      </c>
      <c r="F123" s="23">
        <v>18</v>
      </c>
      <c r="G123" s="23">
        <v>6</v>
      </c>
      <c r="H123" s="23">
        <v>8</v>
      </c>
      <c r="I123" s="23">
        <v>25</v>
      </c>
      <c r="J123" s="23">
        <v>20</v>
      </c>
      <c r="K123" s="23">
        <v>18</v>
      </c>
      <c r="L123" s="23">
        <v>19</v>
      </c>
      <c r="M123" s="23">
        <v>23</v>
      </c>
      <c r="N123" s="23">
        <v>21</v>
      </c>
      <c r="O123" s="23">
        <v>32</v>
      </c>
      <c r="P123" s="28">
        <v>37</v>
      </c>
    </row>
    <row r="124" spans="1:16" x14ac:dyDescent="0.25">
      <c r="A124" s="27">
        <v>44679</v>
      </c>
      <c r="B124" s="23">
        <v>266</v>
      </c>
      <c r="C124" s="23">
        <v>242</v>
      </c>
      <c r="D124" s="23">
        <v>226</v>
      </c>
      <c r="E124" s="23">
        <v>16</v>
      </c>
      <c r="F124" s="23">
        <v>19</v>
      </c>
      <c r="G124" s="23">
        <v>5</v>
      </c>
      <c r="H124" s="23">
        <v>10</v>
      </c>
      <c r="I124" s="23">
        <v>22</v>
      </c>
      <c r="J124" s="23">
        <v>24</v>
      </c>
      <c r="K124" s="23">
        <v>21</v>
      </c>
      <c r="L124" s="23">
        <v>35</v>
      </c>
      <c r="M124" s="23">
        <v>32</v>
      </c>
      <c r="N124" s="23">
        <v>11</v>
      </c>
      <c r="O124" s="23">
        <v>35</v>
      </c>
      <c r="P124" s="28">
        <v>36</v>
      </c>
    </row>
    <row r="125" spans="1:16" x14ac:dyDescent="0.25">
      <c r="A125" s="27">
        <v>44680</v>
      </c>
      <c r="B125" s="23">
        <v>217</v>
      </c>
      <c r="C125" s="23">
        <v>195</v>
      </c>
      <c r="D125" s="23">
        <v>181</v>
      </c>
      <c r="E125" s="23">
        <v>14</v>
      </c>
      <c r="F125" s="23">
        <v>20</v>
      </c>
      <c r="G125" s="23">
        <v>2</v>
      </c>
      <c r="H125" s="23">
        <v>9</v>
      </c>
      <c r="I125" s="23">
        <v>27</v>
      </c>
      <c r="J125" s="23">
        <v>26</v>
      </c>
      <c r="K125" s="23">
        <v>17</v>
      </c>
      <c r="L125" s="23">
        <v>16</v>
      </c>
      <c r="M125" s="23">
        <v>22</v>
      </c>
      <c r="N125" s="23">
        <v>12</v>
      </c>
      <c r="O125" s="23">
        <v>33</v>
      </c>
      <c r="P125" s="28">
        <v>19</v>
      </c>
    </row>
    <row r="126" spans="1:16" x14ac:dyDescent="0.25">
      <c r="A126" s="27">
        <v>44681</v>
      </c>
      <c r="B126" s="23">
        <v>12</v>
      </c>
      <c r="C126" s="23">
        <v>12</v>
      </c>
      <c r="D126" s="23">
        <v>12</v>
      </c>
      <c r="E126" s="23">
        <v>0</v>
      </c>
      <c r="F126" s="23">
        <v>0</v>
      </c>
      <c r="G126" s="23">
        <v>0</v>
      </c>
      <c r="H126" s="23">
        <v>1</v>
      </c>
      <c r="I126" s="23">
        <v>1</v>
      </c>
      <c r="J126" s="23">
        <v>0</v>
      </c>
      <c r="K126" s="23">
        <v>2</v>
      </c>
      <c r="L126" s="23">
        <v>5</v>
      </c>
      <c r="M126" s="23">
        <v>1</v>
      </c>
      <c r="N126" s="23">
        <v>1</v>
      </c>
      <c r="O126" s="23">
        <v>0</v>
      </c>
      <c r="P126" s="28">
        <v>1</v>
      </c>
    </row>
    <row r="127" spans="1:16" x14ac:dyDescent="0.25">
      <c r="A127" s="27">
        <v>44682</v>
      </c>
      <c r="B127" s="23">
        <v>0</v>
      </c>
      <c r="C127" s="23">
        <v>0</v>
      </c>
      <c r="D127" s="23">
        <v>0</v>
      </c>
      <c r="E127" s="23">
        <v>0</v>
      </c>
      <c r="F127" s="23">
        <v>0</v>
      </c>
      <c r="G127" s="23">
        <v>0</v>
      </c>
      <c r="H127" s="23">
        <v>0</v>
      </c>
      <c r="I127" s="23">
        <v>0</v>
      </c>
      <c r="J127" s="23">
        <v>0</v>
      </c>
      <c r="K127" s="23">
        <v>0</v>
      </c>
      <c r="L127" s="23">
        <v>0</v>
      </c>
      <c r="M127" s="23">
        <v>0</v>
      </c>
      <c r="N127" s="23">
        <v>0</v>
      </c>
      <c r="O127" s="23">
        <v>0</v>
      </c>
      <c r="P127" s="28">
        <v>0</v>
      </c>
    </row>
    <row r="128" spans="1:16" x14ac:dyDescent="0.25">
      <c r="A128" s="27">
        <v>44683</v>
      </c>
      <c r="B128" s="23">
        <v>13</v>
      </c>
      <c r="C128" s="23">
        <v>4</v>
      </c>
      <c r="D128" s="23">
        <v>4</v>
      </c>
      <c r="E128" s="23">
        <v>0</v>
      </c>
      <c r="F128" s="23">
        <v>9</v>
      </c>
      <c r="G128" s="23">
        <v>0</v>
      </c>
      <c r="H128" s="23">
        <v>0</v>
      </c>
      <c r="I128" s="23">
        <v>0</v>
      </c>
      <c r="J128" s="23">
        <v>0</v>
      </c>
      <c r="K128" s="23">
        <v>0</v>
      </c>
      <c r="L128" s="23">
        <v>2</v>
      </c>
      <c r="M128" s="23">
        <v>2</v>
      </c>
      <c r="N128" s="23">
        <v>0</v>
      </c>
      <c r="O128" s="23">
        <v>0</v>
      </c>
      <c r="P128" s="28">
        <v>0</v>
      </c>
    </row>
    <row r="129" spans="1:16" x14ac:dyDescent="0.25">
      <c r="A129" s="27">
        <v>44684</v>
      </c>
      <c r="B129" s="23">
        <v>226</v>
      </c>
      <c r="C129" s="23">
        <v>203</v>
      </c>
      <c r="D129" s="23">
        <v>185</v>
      </c>
      <c r="E129" s="23">
        <v>18</v>
      </c>
      <c r="F129" s="23">
        <v>16</v>
      </c>
      <c r="G129" s="23">
        <v>7</v>
      </c>
      <c r="H129" s="23">
        <v>14</v>
      </c>
      <c r="I129" s="23">
        <v>29</v>
      </c>
      <c r="J129" s="23">
        <v>20</v>
      </c>
      <c r="K129" s="23">
        <v>9</v>
      </c>
      <c r="L129" s="23">
        <v>22</v>
      </c>
      <c r="M129" s="23">
        <v>19</v>
      </c>
      <c r="N129" s="23">
        <v>14</v>
      </c>
      <c r="O129" s="23">
        <v>32</v>
      </c>
      <c r="P129" s="28">
        <v>26</v>
      </c>
    </row>
    <row r="130" spans="1:16" x14ac:dyDescent="0.25">
      <c r="A130" s="27">
        <v>44685</v>
      </c>
      <c r="B130" s="23">
        <v>216</v>
      </c>
      <c r="C130" s="23">
        <v>193</v>
      </c>
      <c r="D130" s="23">
        <v>185</v>
      </c>
      <c r="E130" s="23">
        <v>8</v>
      </c>
      <c r="F130" s="23">
        <v>22</v>
      </c>
      <c r="G130" s="23">
        <v>1</v>
      </c>
      <c r="H130" s="23">
        <v>8</v>
      </c>
      <c r="I130" s="23">
        <v>27</v>
      </c>
      <c r="J130" s="23">
        <v>21</v>
      </c>
      <c r="K130" s="23">
        <v>21</v>
      </c>
      <c r="L130" s="23">
        <v>23</v>
      </c>
      <c r="M130" s="23">
        <v>20</v>
      </c>
      <c r="N130" s="23">
        <v>8</v>
      </c>
      <c r="O130" s="23">
        <v>41</v>
      </c>
      <c r="P130" s="28">
        <v>16</v>
      </c>
    </row>
    <row r="131" spans="1:16" x14ac:dyDescent="0.25">
      <c r="A131" s="27">
        <v>44686</v>
      </c>
      <c r="B131" s="23">
        <v>196</v>
      </c>
      <c r="C131" s="23">
        <v>170</v>
      </c>
      <c r="D131" s="23">
        <v>158</v>
      </c>
      <c r="E131" s="23">
        <v>12</v>
      </c>
      <c r="F131" s="23">
        <v>21</v>
      </c>
      <c r="G131" s="23">
        <v>5</v>
      </c>
      <c r="H131" s="23">
        <v>3</v>
      </c>
      <c r="I131" s="23">
        <v>25</v>
      </c>
      <c r="J131" s="23">
        <v>17</v>
      </c>
      <c r="K131" s="23">
        <v>9</v>
      </c>
      <c r="L131" s="23">
        <v>18</v>
      </c>
      <c r="M131" s="23">
        <v>25</v>
      </c>
      <c r="N131" s="23">
        <v>14</v>
      </c>
      <c r="O131" s="23">
        <v>30</v>
      </c>
      <c r="P131" s="28">
        <v>17</v>
      </c>
    </row>
    <row r="132" spans="1:16" x14ac:dyDescent="0.25">
      <c r="A132" s="27">
        <v>44687</v>
      </c>
      <c r="B132" s="23">
        <v>177</v>
      </c>
      <c r="C132" s="23">
        <v>153</v>
      </c>
      <c r="D132" s="23">
        <v>146</v>
      </c>
      <c r="E132" s="23">
        <v>7</v>
      </c>
      <c r="F132" s="23">
        <v>21</v>
      </c>
      <c r="G132" s="23">
        <v>3</v>
      </c>
      <c r="H132" s="23">
        <v>8</v>
      </c>
      <c r="I132" s="23">
        <v>18</v>
      </c>
      <c r="J132" s="23">
        <v>18</v>
      </c>
      <c r="K132" s="23">
        <v>13</v>
      </c>
      <c r="L132" s="23">
        <v>9</v>
      </c>
      <c r="M132" s="23">
        <v>22</v>
      </c>
      <c r="N132" s="23">
        <v>18</v>
      </c>
      <c r="O132" s="23">
        <v>22</v>
      </c>
      <c r="P132" s="28">
        <v>18</v>
      </c>
    </row>
    <row r="133" spans="1:16" x14ac:dyDescent="0.25">
      <c r="A133" s="27">
        <v>44688</v>
      </c>
      <c r="B133" s="23">
        <v>5</v>
      </c>
      <c r="C133" s="23">
        <v>5</v>
      </c>
      <c r="D133" s="23">
        <v>5</v>
      </c>
      <c r="E133" s="23">
        <v>0</v>
      </c>
      <c r="F133" s="23">
        <v>0</v>
      </c>
      <c r="G133" s="23">
        <v>0</v>
      </c>
      <c r="H133" s="23">
        <v>0</v>
      </c>
      <c r="I133" s="23">
        <v>2</v>
      </c>
      <c r="J133" s="23">
        <v>0</v>
      </c>
      <c r="K133" s="23">
        <v>1</v>
      </c>
      <c r="L133" s="23">
        <v>1</v>
      </c>
      <c r="M133" s="23">
        <v>1</v>
      </c>
      <c r="N133" s="23">
        <v>0</v>
      </c>
      <c r="O133" s="23">
        <v>0</v>
      </c>
      <c r="P133" s="28">
        <v>0</v>
      </c>
    </row>
    <row r="134" spans="1:16" x14ac:dyDescent="0.25">
      <c r="A134" s="27">
        <v>44689</v>
      </c>
      <c r="B134" s="23">
        <v>0</v>
      </c>
      <c r="C134" s="23">
        <v>0</v>
      </c>
      <c r="D134" s="23">
        <v>0</v>
      </c>
      <c r="E134" s="23">
        <v>0</v>
      </c>
      <c r="F134" s="23">
        <v>0</v>
      </c>
      <c r="G134" s="23">
        <v>0</v>
      </c>
      <c r="H134" s="23">
        <v>0</v>
      </c>
      <c r="I134" s="23">
        <v>0</v>
      </c>
      <c r="J134" s="23">
        <v>0</v>
      </c>
      <c r="K134" s="23">
        <v>0</v>
      </c>
      <c r="L134" s="23">
        <v>0</v>
      </c>
      <c r="M134" s="23">
        <v>0</v>
      </c>
      <c r="N134" s="23">
        <v>0</v>
      </c>
      <c r="O134" s="23">
        <v>0</v>
      </c>
      <c r="P134" s="28">
        <v>0</v>
      </c>
    </row>
    <row r="135" spans="1:16" x14ac:dyDescent="0.25">
      <c r="A135" s="27">
        <v>44690</v>
      </c>
      <c r="B135" s="23">
        <v>161</v>
      </c>
      <c r="C135" s="23">
        <v>145</v>
      </c>
      <c r="D135" s="23">
        <v>136</v>
      </c>
      <c r="E135" s="23">
        <v>9</v>
      </c>
      <c r="F135" s="23">
        <v>15</v>
      </c>
      <c r="G135" s="23">
        <v>1</v>
      </c>
      <c r="H135" s="23">
        <v>3</v>
      </c>
      <c r="I135" s="23">
        <v>19</v>
      </c>
      <c r="J135" s="23">
        <v>21</v>
      </c>
      <c r="K135" s="23">
        <v>12</v>
      </c>
      <c r="L135" s="23">
        <v>14</v>
      </c>
      <c r="M135" s="23">
        <v>15</v>
      </c>
      <c r="N135" s="23">
        <v>10</v>
      </c>
      <c r="O135" s="23">
        <v>25</v>
      </c>
      <c r="P135" s="28">
        <v>17</v>
      </c>
    </row>
    <row r="136" spans="1:16" x14ac:dyDescent="0.25">
      <c r="A136" s="27">
        <v>44691</v>
      </c>
      <c r="B136" s="23">
        <v>173</v>
      </c>
      <c r="C136" s="23">
        <v>155</v>
      </c>
      <c r="D136" s="23">
        <v>146</v>
      </c>
      <c r="E136" s="23">
        <v>9</v>
      </c>
      <c r="F136" s="23">
        <v>14</v>
      </c>
      <c r="G136" s="23">
        <v>4</v>
      </c>
      <c r="H136" s="23">
        <v>11</v>
      </c>
      <c r="I136" s="23">
        <v>15</v>
      </c>
      <c r="J136" s="23">
        <v>20</v>
      </c>
      <c r="K136" s="23">
        <v>15</v>
      </c>
      <c r="L136" s="23">
        <v>25</v>
      </c>
      <c r="M136" s="23">
        <v>16</v>
      </c>
      <c r="N136" s="23">
        <v>11</v>
      </c>
      <c r="O136" s="23">
        <v>18</v>
      </c>
      <c r="P136" s="28">
        <v>15</v>
      </c>
    </row>
    <row r="137" spans="1:16" x14ac:dyDescent="0.25">
      <c r="A137" s="27">
        <v>44692</v>
      </c>
      <c r="B137" s="23">
        <v>159</v>
      </c>
      <c r="C137" s="23">
        <v>143</v>
      </c>
      <c r="D137" s="23">
        <v>136</v>
      </c>
      <c r="E137" s="23">
        <v>7</v>
      </c>
      <c r="F137" s="23">
        <v>14</v>
      </c>
      <c r="G137" s="23">
        <v>2</v>
      </c>
      <c r="H137" s="23">
        <v>2</v>
      </c>
      <c r="I137" s="23">
        <v>16</v>
      </c>
      <c r="J137" s="23">
        <v>18</v>
      </c>
      <c r="K137" s="23">
        <v>14</v>
      </c>
      <c r="L137" s="23">
        <v>19</v>
      </c>
      <c r="M137" s="23">
        <v>27</v>
      </c>
      <c r="N137" s="23">
        <v>3</v>
      </c>
      <c r="O137" s="23">
        <v>26</v>
      </c>
      <c r="P137" s="28">
        <v>11</v>
      </c>
    </row>
    <row r="138" spans="1:16" x14ac:dyDescent="0.25">
      <c r="A138" s="27">
        <v>44693</v>
      </c>
      <c r="B138" s="23">
        <v>156</v>
      </c>
      <c r="C138" s="23">
        <v>140</v>
      </c>
      <c r="D138" s="23">
        <v>130</v>
      </c>
      <c r="E138" s="23">
        <v>10</v>
      </c>
      <c r="F138" s="23">
        <v>11</v>
      </c>
      <c r="G138" s="23">
        <v>5</v>
      </c>
      <c r="H138" s="23">
        <v>7</v>
      </c>
      <c r="I138" s="23">
        <v>18</v>
      </c>
      <c r="J138" s="23">
        <v>11</v>
      </c>
      <c r="K138" s="23">
        <v>11</v>
      </c>
      <c r="L138" s="23">
        <v>18</v>
      </c>
      <c r="M138" s="23">
        <v>16</v>
      </c>
      <c r="N138" s="23">
        <v>12</v>
      </c>
      <c r="O138" s="23">
        <v>20</v>
      </c>
      <c r="P138" s="28">
        <v>17</v>
      </c>
    </row>
    <row r="139" spans="1:16" x14ac:dyDescent="0.25">
      <c r="A139" s="27">
        <v>44694</v>
      </c>
      <c r="B139" s="23">
        <v>144</v>
      </c>
      <c r="C139" s="23">
        <v>131</v>
      </c>
      <c r="D139" s="23">
        <v>121</v>
      </c>
      <c r="E139" s="23">
        <v>10</v>
      </c>
      <c r="F139" s="23">
        <v>9</v>
      </c>
      <c r="G139" s="23">
        <v>4</v>
      </c>
      <c r="H139" s="23">
        <v>9</v>
      </c>
      <c r="I139" s="23">
        <v>11</v>
      </c>
      <c r="J139" s="23">
        <v>10</v>
      </c>
      <c r="K139" s="23">
        <v>21</v>
      </c>
      <c r="L139" s="23">
        <v>10</v>
      </c>
      <c r="M139" s="23">
        <v>17</v>
      </c>
      <c r="N139" s="23">
        <v>12</v>
      </c>
      <c r="O139" s="23">
        <v>21</v>
      </c>
      <c r="P139" s="28">
        <v>10</v>
      </c>
    </row>
    <row r="140" spans="1:16" x14ac:dyDescent="0.25">
      <c r="A140" s="27">
        <v>44695</v>
      </c>
      <c r="B140" s="23">
        <v>14</v>
      </c>
      <c r="C140" s="23">
        <v>14</v>
      </c>
      <c r="D140" s="23">
        <v>13</v>
      </c>
      <c r="E140" s="23">
        <v>1</v>
      </c>
      <c r="F140" s="23">
        <v>0</v>
      </c>
      <c r="G140" s="23">
        <v>0</v>
      </c>
      <c r="H140" s="23">
        <v>0</v>
      </c>
      <c r="I140" s="23">
        <v>2</v>
      </c>
      <c r="J140" s="23">
        <v>0</v>
      </c>
      <c r="K140" s="23">
        <v>2</v>
      </c>
      <c r="L140" s="23">
        <v>3</v>
      </c>
      <c r="M140" s="23">
        <v>2</v>
      </c>
      <c r="N140" s="23">
        <v>0</v>
      </c>
      <c r="O140" s="23">
        <v>4</v>
      </c>
      <c r="P140" s="28">
        <v>0</v>
      </c>
    </row>
    <row r="141" spans="1:16" x14ac:dyDescent="0.25">
      <c r="A141" s="27">
        <v>44696</v>
      </c>
      <c r="B141" s="23">
        <v>0</v>
      </c>
      <c r="C141" s="23">
        <v>0</v>
      </c>
      <c r="D141" s="23">
        <v>0</v>
      </c>
      <c r="E141" s="23">
        <v>0</v>
      </c>
      <c r="F141" s="23">
        <v>0</v>
      </c>
      <c r="G141" s="23">
        <v>0</v>
      </c>
      <c r="H141" s="23">
        <v>0</v>
      </c>
      <c r="I141" s="23">
        <v>0</v>
      </c>
      <c r="J141" s="23">
        <v>0</v>
      </c>
      <c r="K141" s="23">
        <v>0</v>
      </c>
      <c r="L141" s="23">
        <v>0</v>
      </c>
      <c r="M141" s="23">
        <v>0</v>
      </c>
      <c r="N141" s="23">
        <v>0</v>
      </c>
      <c r="O141" s="23">
        <v>0</v>
      </c>
      <c r="P141" s="28">
        <v>0</v>
      </c>
    </row>
    <row r="142" spans="1:16" x14ac:dyDescent="0.25">
      <c r="A142" s="27">
        <v>44697</v>
      </c>
      <c r="B142" s="23">
        <v>123</v>
      </c>
      <c r="C142" s="23">
        <v>112</v>
      </c>
      <c r="D142" s="23">
        <v>110</v>
      </c>
      <c r="E142" s="23">
        <v>2</v>
      </c>
      <c r="F142" s="23">
        <v>9</v>
      </c>
      <c r="G142" s="23">
        <v>2</v>
      </c>
      <c r="H142" s="23">
        <v>5</v>
      </c>
      <c r="I142" s="23">
        <v>15</v>
      </c>
      <c r="J142" s="23">
        <v>10</v>
      </c>
      <c r="K142" s="23">
        <v>8</v>
      </c>
      <c r="L142" s="23">
        <v>17</v>
      </c>
      <c r="M142" s="23">
        <v>11</v>
      </c>
      <c r="N142" s="23">
        <v>15</v>
      </c>
      <c r="O142" s="23">
        <v>14</v>
      </c>
      <c r="P142" s="28">
        <v>15</v>
      </c>
    </row>
    <row r="143" spans="1:16" x14ac:dyDescent="0.25">
      <c r="A143" s="27">
        <v>44698</v>
      </c>
      <c r="B143" s="23">
        <v>144</v>
      </c>
      <c r="C143" s="23">
        <v>129</v>
      </c>
      <c r="D143" s="23">
        <v>125</v>
      </c>
      <c r="E143" s="23">
        <v>3</v>
      </c>
      <c r="F143" s="23">
        <v>11</v>
      </c>
      <c r="G143" s="23">
        <v>4</v>
      </c>
      <c r="H143" s="23">
        <v>7</v>
      </c>
      <c r="I143" s="23">
        <v>9</v>
      </c>
      <c r="J143" s="23">
        <v>9</v>
      </c>
      <c r="K143" s="23">
        <v>15</v>
      </c>
      <c r="L143" s="23">
        <v>14</v>
      </c>
      <c r="M143" s="23">
        <v>20</v>
      </c>
      <c r="N143" s="23">
        <v>13</v>
      </c>
      <c r="O143" s="23">
        <v>29</v>
      </c>
      <c r="P143" s="28">
        <v>9</v>
      </c>
    </row>
    <row r="144" spans="1:16" x14ac:dyDescent="0.25">
      <c r="A144" s="27">
        <v>44699</v>
      </c>
      <c r="B144" s="23">
        <v>129</v>
      </c>
      <c r="C144" s="23">
        <v>111</v>
      </c>
      <c r="D144" s="23">
        <v>107</v>
      </c>
      <c r="E144" s="23">
        <v>4</v>
      </c>
      <c r="F144" s="23">
        <v>15</v>
      </c>
      <c r="G144" s="23">
        <v>3</v>
      </c>
      <c r="H144" s="23">
        <v>4</v>
      </c>
      <c r="I144" s="23">
        <v>16</v>
      </c>
      <c r="J144" s="23">
        <v>11</v>
      </c>
      <c r="K144" s="23">
        <v>10</v>
      </c>
      <c r="L144" s="23">
        <v>10</v>
      </c>
      <c r="M144" s="23">
        <v>18</v>
      </c>
      <c r="N144" s="23">
        <v>10</v>
      </c>
      <c r="O144" s="23">
        <v>18</v>
      </c>
      <c r="P144" s="28">
        <v>10</v>
      </c>
    </row>
    <row r="145" spans="1:16" x14ac:dyDescent="0.25">
      <c r="A145" s="27">
        <v>44700</v>
      </c>
      <c r="B145" s="23">
        <v>101</v>
      </c>
      <c r="C145" s="23">
        <v>92</v>
      </c>
      <c r="D145" s="23">
        <v>89</v>
      </c>
      <c r="E145" s="23">
        <v>3</v>
      </c>
      <c r="F145" s="23">
        <v>5</v>
      </c>
      <c r="G145" s="23">
        <v>4</v>
      </c>
      <c r="H145" s="23">
        <v>6</v>
      </c>
      <c r="I145" s="23">
        <v>10</v>
      </c>
      <c r="J145" s="23">
        <v>12</v>
      </c>
      <c r="K145" s="23">
        <v>7</v>
      </c>
      <c r="L145" s="23">
        <v>7</v>
      </c>
      <c r="M145" s="23">
        <v>11</v>
      </c>
      <c r="N145" s="23">
        <v>7</v>
      </c>
      <c r="O145" s="23">
        <v>18</v>
      </c>
      <c r="P145" s="28">
        <v>11</v>
      </c>
    </row>
    <row r="146" spans="1:16" x14ac:dyDescent="0.25">
      <c r="A146" s="27">
        <v>44701</v>
      </c>
      <c r="B146" s="23">
        <v>104</v>
      </c>
      <c r="C146" s="23">
        <v>89</v>
      </c>
      <c r="D146" s="23">
        <v>84</v>
      </c>
      <c r="E146" s="23">
        <v>5</v>
      </c>
      <c r="F146" s="23">
        <v>13</v>
      </c>
      <c r="G146" s="23">
        <v>2</v>
      </c>
      <c r="H146" s="23">
        <v>4</v>
      </c>
      <c r="I146" s="23">
        <v>3</v>
      </c>
      <c r="J146" s="23">
        <v>10</v>
      </c>
      <c r="K146" s="23">
        <v>14</v>
      </c>
      <c r="L146" s="23">
        <v>16</v>
      </c>
      <c r="M146" s="23">
        <v>8</v>
      </c>
      <c r="N146" s="23">
        <v>7</v>
      </c>
      <c r="O146" s="23">
        <v>10</v>
      </c>
      <c r="P146" s="28">
        <v>12</v>
      </c>
    </row>
    <row r="147" spans="1:16" x14ac:dyDescent="0.25">
      <c r="A147" s="27">
        <v>44702</v>
      </c>
      <c r="B147" s="23">
        <v>4</v>
      </c>
      <c r="C147" s="23">
        <v>4</v>
      </c>
      <c r="D147" s="23">
        <v>4</v>
      </c>
      <c r="E147" s="23">
        <v>0</v>
      </c>
      <c r="F147" s="23">
        <v>0</v>
      </c>
      <c r="G147" s="23">
        <v>0</v>
      </c>
      <c r="H147" s="23">
        <v>0</v>
      </c>
      <c r="I147" s="23">
        <v>0</v>
      </c>
      <c r="J147" s="23">
        <v>2</v>
      </c>
      <c r="K147" s="23">
        <v>1</v>
      </c>
      <c r="L147" s="23">
        <v>1</v>
      </c>
      <c r="M147" s="23">
        <v>0</v>
      </c>
      <c r="N147" s="23">
        <v>0</v>
      </c>
      <c r="O147" s="23">
        <v>0</v>
      </c>
      <c r="P147" s="28">
        <v>0</v>
      </c>
    </row>
    <row r="148" spans="1:16" x14ac:dyDescent="0.25">
      <c r="A148" s="27">
        <v>44703</v>
      </c>
      <c r="B148" s="23">
        <v>0</v>
      </c>
      <c r="C148" s="23">
        <v>0</v>
      </c>
      <c r="D148" s="23">
        <v>0</v>
      </c>
      <c r="E148" s="23">
        <v>0</v>
      </c>
      <c r="F148" s="23">
        <v>0</v>
      </c>
      <c r="G148" s="23">
        <v>0</v>
      </c>
      <c r="H148" s="23">
        <v>0</v>
      </c>
      <c r="I148" s="23">
        <v>0</v>
      </c>
      <c r="J148" s="23">
        <v>0</v>
      </c>
      <c r="K148" s="23">
        <v>0</v>
      </c>
      <c r="L148" s="23">
        <v>0</v>
      </c>
      <c r="M148" s="23">
        <v>0</v>
      </c>
      <c r="N148" s="23">
        <v>0</v>
      </c>
      <c r="O148" s="23">
        <v>0</v>
      </c>
      <c r="P148" s="28">
        <v>0</v>
      </c>
    </row>
    <row r="149" spans="1:16" x14ac:dyDescent="0.25">
      <c r="A149" s="27">
        <v>44704</v>
      </c>
      <c r="B149" s="23">
        <v>100</v>
      </c>
      <c r="C149" s="23">
        <v>81</v>
      </c>
      <c r="D149" s="23">
        <v>75</v>
      </c>
      <c r="E149" s="23">
        <v>6</v>
      </c>
      <c r="F149" s="23">
        <v>13</v>
      </c>
      <c r="G149" s="23">
        <v>6</v>
      </c>
      <c r="H149" s="23">
        <v>4</v>
      </c>
      <c r="I149" s="23">
        <v>10</v>
      </c>
      <c r="J149" s="23">
        <v>9</v>
      </c>
      <c r="K149" s="23">
        <v>5</v>
      </c>
      <c r="L149" s="23">
        <v>10</v>
      </c>
      <c r="M149" s="23">
        <v>9</v>
      </c>
      <c r="N149" s="23">
        <v>5</v>
      </c>
      <c r="O149" s="23">
        <v>15</v>
      </c>
      <c r="P149" s="28">
        <v>8</v>
      </c>
    </row>
    <row r="150" spans="1:16" x14ac:dyDescent="0.25">
      <c r="A150" s="27">
        <v>44705</v>
      </c>
      <c r="B150" s="23">
        <v>95</v>
      </c>
      <c r="C150" s="23">
        <v>85</v>
      </c>
      <c r="D150" s="23">
        <v>77</v>
      </c>
      <c r="E150" s="23">
        <v>8</v>
      </c>
      <c r="F150" s="23">
        <v>9</v>
      </c>
      <c r="G150" s="23">
        <v>1</v>
      </c>
      <c r="H150" s="23">
        <v>3</v>
      </c>
      <c r="I150" s="23">
        <v>11</v>
      </c>
      <c r="J150" s="23">
        <v>5</v>
      </c>
      <c r="K150" s="23">
        <v>5</v>
      </c>
      <c r="L150" s="23">
        <v>9</v>
      </c>
      <c r="M150" s="23">
        <v>14</v>
      </c>
      <c r="N150" s="23">
        <v>5</v>
      </c>
      <c r="O150" s="23">
        <v>13</v>
      </c>
      <c r="P150" s="28">
        <v>12</v>
      </c>
    </row>
    <row r="151" spans="1:16" x14ac:dyDescent="0.25">
      <c r="A151" s="27">
        <v>44706</v>
      </c>
      <c r="B151" s="23">
        <v>96</v>
      </c>
      <c r="C151" s="23">
        <v>85</v>
      </c>
      <c r="D151" s="23">
        <v>82</v>
      </c>
      <c r="E151" s="23">
        <v>3</v>
      </c>
      <c r="F151" s="23">
        <v>10</v>
      </c>
      <c r="G151" s="23">
        <v>1</v>
      </c>
      <c r="H151" s="23">
        <v>4</v>
      </c>
      <c r="I151" s="23">
        <v>11</v>
      </c>
      <c r="J151" s="23">
        <v>7</v>
      </c>
      <c r="K151" s="23">
        <v>6</v>
      </c>
      <c r="L151" s="23">
        <v>10</v>
      </c>
      <c r="M151" s="23">
        <v>9</v>
      </c>
      <c r="N151" s="23">
        <v>7</v>
      </c>
      <c r="O151" s="23">
        <v>18</v>
      </c>
      <c r="P151" s="28">
        <v>10</v>
      </c>
    </row>
    <row r="152" spans="1:16" x14ac:dyDescent="0.25">
      <c r="A152" s="27">
        <v>44707</v>
      </c>
      <c r="B152" s="23">
        <v>84</v>
      </c>
      <c r="C152" s="23">
        <v>77</v>
      </c>
      <c r="D152" s="23">
        <v>70</v>
      </c>
      <c r="E152" s="23">
        <v>7</v>
      </c>
      <c r="F152" s="23">
        <v>7</v>
      </c>
      <c r="G152" s="23">
        <v>0</v>
      </c>
      <c r="H152" s="23">
        <v>5</v>
      </c>
      <c r="I152" s="23">
        <v>11</v>
      </c>
      <c r="J152" s="23">
        <v>5</v>
      </c>
      <c r="K152" s="23">
        <v>10</v>
      </c>
      <c r="L152" s="23">
        <v>7</v>
      </c>
      <c r="M152" s="23">
        <v>16</v>
      </c>
      <c r="N152" s="23">
        <v>4</v>
      </c>
      <c r="O152" s="23">
        <v>8</v>
      </c>
      <c r="P152" s="28">
        <v>4</v>
      </c>
    </row>
    <row r="153" spans="1:16" x14ac:dyDescent="0.25">
      <c r="A153" s="27">
        <v>44708</v>
      </c>
      <c r="B153" s="23">
        <v>90</v>
      </c>
      <c r="C153" s="23">
        <v>78</v>
      </c>
      <c r="D153" s="23">
        <v>69</v>
      </c>
      <c r="E153" s="23">
        <v>9</v>
      </c>
      <c r="F153" s="23">
        <v>7</v>
      </c>
      <c r="G153" s="23">
        <v>5</v>
      </c>
      <c r="H153" s="23">
        <v>3</v>
      </c>
      <c r="I153" s="23">
        <v>9</v>
      </c>
      <c r="J153" s="23">
        <v>6</v>
      </c>
      <c r="K153" s="23">
        <v>9</v>
      </c>
      <c r="L153" s="23">
        <v>6</v>
      </c>
      <c r="M153" s="23">
        <v>11</v>
      </c>
      <c r="N153" s="23">
        <v>9</v>
      </c>
      <c r="O153" s="23">
        <v>12</v>
      </c>
      <c r="P153" s="28">
        <v>4</v>
      </c>
    </row>
    <row r="154" spans="1:16" x14ac:dyDescent="0.25">
      <c r="A154" s="27">
        <v>44709</v>
      </c>
      <c r="B154" s="23">
        <v>5</v>
      </c>
      <c r="C154" s="23">
        <v>5</v>
      </c>
      <c r="D154" s="23">
        <v>5</v>
      </c>
      <c r="E154" s="23">
        <v>0</v>
      </c>
      <c r="F154" s="23">
        <v>0</v>
      </c>
      <c r="G154" s="23">
        <v>0</v>
      </c>
      <c r="H154" s="23">
        <v>0</v>
      </c>
      <c r="I154" s="23">
        <v>0</v>
      </c>
      <c r="J154" s="23">
        <v>0</v>
      </c>
      <c r="K154" s="23">
        <v>3</v>
      </c>
      <c r="L154" s="23">
        <v>0</v>
      </c>
      <c r="M154" s="23">
        <v>1</v>
      </c>
      <c r="N154" s="23">
        <v>0</v>
      </c>
      <c r="O154" s="23">
        <v>1</v>
      </c>
      <c r="P154" s="28">
        <v>0</v>
      </c>
    </row>
    <row r="155" spans="1:16" x14ac:dyDescent="0.25">
      <c r="A155" s="27">
        <v>44710</v>
      </c>
      <c r="B155" s="23">
        <v>0</v>
      </c>
      <c r="C155" s="23">
        <v>0</v>
      </c>
      <c r="D155" s="23">
        <v>0</v>
      </c>
      <c r="E155" s="23">
        <v>0</v>
      </c>
      <c r="F155" s="23">
        <v>0</v>
      </c>
      <c r="G155" s="23">
        <v>0</v>
      </c>
      <c r="H155" s="23">
        <v>0</v>
      </c>
      <c r="I155" s="23">
        <v>0</v>
      </c>
      <c r="J155" s="23">
        <v>0</v>
      </c>
      <c r="K155" s="23">
        <v>0</v>
      </c>
      <c r="L155" s="23">
        <v>0</v>
      </c>
      <c r="M155" s="23">
        <v>0</v>
      </c>
      <c r="N155" s="23">
        <v>0</v>
      </c>
      <c r="O155" s="23">
        <v>0</v>
      </c>
      <c r="P155" s="28">
        <v>0</v>
      </c>
    </row>
    <row r="156" spans="1:16" x14ac:dyDescent="0.25">
      <c r="A156" s="27">
        <v>44711</v>
      </c>
      <c r="B156" s="23">
        <v>60</v>
      </c>
      <c r="C156" s="23">
        <v>53</v>
      </c>
      <c r="D156" s="23">
        <v>49</v>
      </c>
      <c r="E156" s="23">
        <v>4</v>
      </c>
      <c r="F156" s="23">
        <v>6</v>
      </c>
      <c r="G156" s="23">
        <v>1</v>
      </c>
      <c r="H156" s="23">
        <v>2</v>
      </c>
      <c r="I156" s="23">
        <v>8</v>
      </c>
      <c r="J156" s="23">
        <v>2</v>
      </c>
      <c r="K156" s="23">
        <v>11</v>
      </c>
      <c r="L156" s="23">
        <v>7</v>
      </c>
      <c r="M156" s="23">
        <v>3</v>
      </c>
      <c r="N156" s="23">
        <v>3</v>
      </c>
      <c r="O156" s="23">
        <v>10</v>
      </c>
      <c r="P156" s="28">
        <v>3</v>
      </c>
    </row>
    <row r="157" spans="1:16" x14ac:dyDescent="0.25">
      <c r="A157" s="27">
        <v>44712</v>
      </c>
      <c r="B157" s="23">
        <v>74</v>
      </c>
      <c r="C157" s="23">
        <v>65</v>
      </c>
      <c r="D157" s="23">
        <v>62</v>
      </c>
      <c r="E157" s="23">
        <v>3</v>
      </c>
      <c r="F157" s="23">
        <v>8</v>
      </c>
      <c r="G157" s="23">
        <v>1</v>
      </c>
      <c r="H157" s="23">
        <v>4</v>
      </c>
      <c r="I157" s="23">
        <v>5</v>
      </c>
      <c r="J157" s="23">
        <v>5</v>
      </c>
      <c r="K157" s="23">
        <v>9</v>
      </c>
      <c r="L157" s="23">
        <v>8</v>
      </c>
      <c r="M157" s="23">
        <v>11</v>
      </c>
      <c r="N157" s="23">
        <v>7</v>
      </c>
      <c r="O157" s="23">
        <v>12</v>
      </c>
      <c r="P157" s="28">
        <v>1</v>
      </c>
    </row>
    <row r="158" spans="1:16" x14ac:dyDescent="0.25">
      <c r="A158" s="27">
        <v>44713</v>
      </c>
      <c r="B158" s="23">
        <v>71</v>
      </c>
      <c r="C158" s="23">
        <v>62</v>
      </c>
      <c r="D158" s="23">
        <v>57</v>
      </c>
      <c r="E158" s="23">
        <v>5</v>
      </c>
      <c r="F158" s="23">
        <v>6</v>
      </c>
      <c r="G158" s="23">
        <v>3</v>
      </c>
      <c r="H158" s="23">
        <v>5</v>
      </c>
      <c r="I158" s="23">
        <v>6</v>
      </c>
      <c r="J158" s="23">
        <v>6</v>
      </c>
      <c r="K158" s="23">
        <v>6</v>
      </c>
      <c r="L158" s="23">
        <v>9</v>
      </c>
      <c r="M158" s="23">
        <v>8</v>
      </c>
      <c r="N158" s="23">
        <v>8</v>
      </c>
      <c r="O158" s="23">
        <v>4</v>
      </c>
      <c r="P158" s="28">
        <v>5</v>
      </c>
    </row>
    <row r="159" spans="1:16" x14ac:dyDescent="0.25">
      <c r="A159" s="27">
        <v>44714</v>
      </c>
      <c r="B159" s="23">
        <v>1</v>
      </c>
      <c r="C159" s="23">
        <v>1</v>
      </c>
      <c r="D159" s="23">
        <v>1</v>
      </c>
      <c r="E159" s="23">
        <v>0</v>
      </c>
      <c r="F159" s="23">
        <v>0</v>
      </c>
      <c r="G159" s="23">
        <v>0</v>
      </c>
      <c r="H159" s="23">
        <v>0</v>
      </c>
      <c r="I159" s="23">
        <v>0</v>
      </c>
      <c r="J159" s="23">
        <v>0</v>
      </c>
      <c r="K159" s="23">
        <v>0</v>
      </c>
      <c r="L159" s="23">
        <v>1</v>
      </c>
      <c r="M159" s="23">
        <v>0</v>
      </c>
      <c r="N159" s="23">
        <v>0</v>
      </c>
      <c r="O159" s="23">
        <v>0</v>
      </c>
      <c r="P159" s="28">
        <v>0</v>
      </c>
    </row>
    <row r="160" spans="1:16" x14ac:dyDescent="0.25">
      <c r="A160" s="27">
        <v>44715</v>
      </c>
      <c r="B160" s="23">
        <v>0</v>
      </c>
      <c r="C160" s="23">
        <v>0</v>
      </c>
      <c r="D160" s="23">
        <v>0</v>
      </c>
      <c r="E160" s="23">
        <v>0</v>
      </c>
      <c r="F160" s="23">
        <v>0</v>
      </c>
      <c r="G160" s="23">
        <v>0</v>
      </c>
      <c r="H160" s="23">
        <v>0</v>
      </c>
      <c r="I160" s="23">
        <v>0</v>
      </c>
      <c r="J160" s="23">
        <v>0</v>
      </c>
      <c r="K160" s="23">
        <v>0</v>
      </c>
      <c r="L160" s="23">
        <v>0</v>
      </c>
      <c r="M160" s="23">
        <v>0</v>
      </c>
      <c r="N160" s="23">
        <v>0</v>
      </c>
      <c r="O160" s="23">
        <v>0</v>
      </c>
      <c r="P160" s="28">
        <v>0</v>
      </c>
    </row>
    <row r="161" spans="1:16" x14ac:dyDescent="0.25">
      <c r="A161" s="27">
        <v>44716</v>
      </c>
      <c r="B161" s="23">
        <v>3</v>
      </c>
      <c r="C161" s="23">
        <v>3</v>
      </c>
      <c r="D161" s="23">
        <v>2</v>
      </c>
      <c r="E161" s="23">
        <v>1</v>
      </c>
      <c r="F161" s="23">
        <v>0</v>
      </c>
      <c r="G161" s="23">
        <v>0</v>
      </c>
      <c r="H161" s="23">
        <v>0</v>
      </c>
      <c r="I161" s="23">
        <v>0</v>
      </c>
      <c r="J161" s="23">
        <v>0</v>
      </c>
      <c r="K161" s="23">
        <v>0</v>
      </c>
      <c r="L161" s="23">
        <v>0</v>
      </c>
      <c r="M161" s="23">
        <v>1</v>
      </c>
      <c r="N161" s="23">
        <v>0</v>
      </c>
      <c r="O161" s="23">
        <v>0</v>
      </c>
      <c r="P161" s="28">
        <v>1</v>
      </c>
    </row>
    <row r="162" spans="1:16" x14ac:dyDescent="0.25">
      <c r="A162" s="27">
        <v>44717</v>
      </c>
      <c r="B162" s="23">
        <v>1</v>
      </c>
      <c r="C162" s="23">
        <v>1</v>
      </c>
      <c r="D162" s="23">
        <v>1</v>
      </c>
      <c r="E162" s="23">
        <v>0</v>
      </c>
      <c r="F162" s="23">
        <v>0</v>
      </c>
      <c r="G162" s="23">
        <v>0</v>
      </c>
      <c r="H162" s="23">
        <v>0</v>
      </c>
      <c r="I162" s="23">
        <v>0</v>
      </c>
      <c r="J162" s="23">
        <v>0</v>
      </c>
      <c r="K162" s="23">
        <v>0</v>
      </c>
      <c r="L162" s="23">
        <v>0</v>
      </c>
      <c r="M162" s="23">
        <v>0</v>
      </c>
      <c r="N162" s="23">
        <v>1</v>
      </c>
      <c r="O162" s="23">
        <v>0</v>
      </c>
      <c r="P162" s="28">
        <v>0</v>
      </c>
    </row>
    <row r="163" spans="1:16" x14ac:dyDescent="0.25">
      <c r="A163" s="27">
        <v>44718</v>
      </c>
      <c r="B163" s="23">
        <v>77</v>
      </c>
      <c r="C163" s="23">
        <v>65</v>
      </c>
      <c r="D163" s="23">
        <v>60</v>
      </c>
      <c r="E163" s="23">
        <v>4</v>
      </c>
      <c r="F163" s="23">
        <v>10</v>
      </c>
      <c r="G163" s="23">
        <v>2</v>
      </c>
      <c r="H163" s="23">
        <v>5</v>
      </c>
      <c r="I163" s="23">
        <v>10</v>
      </c>
      <c r="J163" s="23">
        <v>9</v>
      </c>
      <c r="K163" s="23">
        <v>4</v>
      </c>
      <c r="L163" s="23">
        <v>10</v>
      </c>
      <c r="M163" s="23">
        <v>5</v>
      </c>
      <c r="N163" s="23">
        <v>6</v>
      </c>
      <c r="O163" s="23">
        <v>8</v>
      </c>
      <c r="P163" s="28">
        <v>3</v>
      </c>
    </row>
    <row r="164" spans="1:16" x14ac:dyDescent="0.25">
      <c r="A164" s="27">
        <v>44719</v>
      </c>
      <c r="B164" s="23">
        <v>71</v>
      </c>
      <c r="C164" s="23">
        <v>63</v>
      </c>
      <c r="D164" s="23">
        <v>60</v>
      </c>
      <c r="E164" s="23">
        <v>3</v>
      </c>
      <c r="F164" s="23">
        <v>7</v>
      </c>
      <c r="G164" s="23">
        <v>1</v>
      </c>
      <c r="H164" s="23">
        <v>3</v>
      </c>
      <c r="I164" s="23">
        <v>7</v>
      </c>
      <c r="J164" s="23">
        <v>5</v>
      </c>
      <c r="K164" s="23">
        <v>8</v>
      </c>
      <c r="L164" s="23">
        <v>8</v>
      </c>
      <c r="M164" s="23">
        <v>7</v>
      </c>
      <c r="N164" s="23">
        <v>8</v>
      </c>
      <c r="O164" s="23">
        <v>8</v>
      </c>
      <c r="P164" s="28">
        <v>6</v>
      </c>
    </row>
    <row r="165" spans="1:16" x14ac:dyDescent="0.25">
      <c r="A165" s="27">
        <v>44720</v>
      </c>
      <c r="B165" s="23">
        <v>64</v>
      </c>
      <c r="C165" s="23">
        <v>55</v>
      </c>
      <c r="D165" s="23">
        <v>52</v>
      </c>
      <c r="E165" s="23">
        <v>3</v>
      </c>
      <c r="F165" s="23">
        <v>5</v>
      </c>
      <c r="G165" s="23">
        <v>4</v>
      </c>
      <c r="H165" s="23">
        <v>4</v>
      </c>
      <c r="I165" s="23">
        <v>5</v>
      </c>
      <c r="J165" s="23">
        <v>7</v>
      </c>
      <c r="K165" s="23">
        <v>3</v>
      </c>
      <c r="L165" s="23">
        <v>5</v>
      </c>
      <c r="M165" s="23">
        <v>5</v>
      </c>
      <c r="N165" s="23">
        <v>5</v>
      </c>
      <c r="O165" s="23">
        <v>13</v>
      </c>
      <c r="P165" s="28">
        <v>5</v>
      </c>
    </row>
    <row r="166" spans="1:16" x14ac:dyDescent="0.25">
      <c r="A166" s="27">
        <v>44721</v>
      </c>
      <c r="B166" s="23">
        <v>63</v>
      </c>
      <c r="C166" s="23">
        <v>50</v>
      </c>
      <c r="D166" s="23">
        <v>49</v>
      </c>
      <c r="E166" s="23">
        <v>1</v>
      </c>
      <c r="F166" s="23">
        <v>9</v>
      </c>
      <c r="G166" s="23">
        <v>4</v>
      </c>
      <c r="H166" s="23">
        <v>1</v>
      </c>
      <c r="I166" s="23">
        <v>9</v>
      </c>
      <c r="J166" s="23">
        <v>6</v>
      </c>
      <c r="K166" s="23">
        <v>7</v>
      </c>
      <c r="L166" s="23">
        <v>3</v>
      </c>
      <c r="M166" s="23">
        <v>6</v>
      </c>
      <c r="N166" s="23">
        <v>5</v>
      </c>
      <c r="O166" s="23">
        <v>7</v>
      </c>
      <c r="P166" s="28">
        <v>5</v>
      </c>
    </row>
    <row r="167" spans="1:16" x14ac:dyDescent="0.25">
      <c r="A167" s="27">
        <v>44722</v>
      </c>
      <c r="B167" s="23">
        <v>56</v>
      </c>
      <c r="C167" s="23">
        <v>47</v>
      </c>
      <c r="D167" s="23">
        <v>47</v>
      </c>
      <c r="E167" s="23">
        <v>0</v>
      </c>
      <c r="F167" s="23">
        <v>8</v>
      </c>
      <c r="G167" s="23">
        <v>1</v>
      </c>
      <c r="H167" s="23">
        <v>3</v>
      </c>
      <c r="I167" s="23">
        <v>6</v>
      </c>
      <c r="J167" s="23">
        <v>4</v>
      </c>
      <c r="K167" s="23">
        <v>1</v>
      </c>
      <c r="L167" s="23">
        <v>9</v>
      </c>
      <c r="M167" s="23">
        <v>6</v>
      </c>
      <c r="N167" s="23">
        <v>4</v>
      </c>
      <c r="O167" s="23">
        <v>9</v>
      </c>
      <c r="P167" s="28">
        <v>5</v>
      </c>
    </row>
    <row r="168" spans="1:16" x14ac:dyDescent="0.25">
      <c r="A168" s="27">
        <v>44723</v>
      </c>
      <c r="B168" s="23">
        <v>4</v>
      </c>
      <c r="C168" s="23">
        <v>4</v>
      </c>
      <c r="D168" s="23">
        <v>4</v>
      </c>
      <c r="E168" s="23">
        <v>0</v>
      </c>
      <c r="F168" s="23">
        <v>0</v>
      </c>
      <c r="G168" s="23">
        <v>0</v>
      </c>
      <c r="H168" s="23">
        <v>1</v>
      </c>
      <c r="I168" s="23">
        <v>0</v>
      </c>
      <c r="J168" s="23">
        <v>0</v>
      </c>
      <c r="K168" s="23">
        <v>0</v>
      </c>
      <c r="L168" s="23">
        <v>0</v>
      </c>
      <c r="M168" s="23">
        <v>0</v>
      </c>
      <c r="N168" s="23">
        <v>3</v>
      </c>
      <c r="O168" s="23">
        <v>0</v>
      </c>
      <c r="P168" s="28">
        <v>0</v>
      </c>
    </row>
    <row r="169" spans="1:16" x14ac:dyDescent="0.25">
      <c r="A169" s="27">
        <v>44724</v>
      </c>
      <c r="B169" s="23">
        <v>0</v>
      </c>
      <c r="C169" s="23">
        <v>0</v>
      </c>
      <c r="D169" s="23">
        <v>0</v>
      </c>
      <c r="E169" s="23">
        <v>0</v>
      </c>
      <c r="F169" s="23">
        <v>0</v>
      </c>
      <c r="G169" s="23">
        <v>0</v>
      </c>
      <c r="H169" s="23">
        <v>0</v>
      </c>
      <c r="I169" s="23">
        <v>0</v>
      </c>
      <c r="J169" s="23">
        <v>0</v>
      </c>
      <c r="K169" s="23">
        <v>0</v>
      </c>
      <c r="L169" s="23">
        <v>0</v>
      </c>
      <c r="M169" s="23">
        <v>0</v>
      </c>
      <c r="N169" s="23">
        <v>0</v>
      </c>
      <c r="O169" s="23">
        <v>0</v>
      </c>
      <c r="P169" s="28">
        <v>0</v>
      </c>
    </row>
    <row r="170" spans="1:16" x14ac:dyDescent="0.25">
      <c r="A170" s="27">
        <v>44725</v>
      </c>
      <c r="B170" s="23">
        <v>66</v>
      </c>
      <c r="C170" s="23">
        <v>61</v>
      </c>
      <c r="D170" s="23">
        <v>56</v>
      </c>
      <c r="E170" s="23">
        <v>5</v>
      </c>
      <c r="F170" s="23">
        <v>5</v>
      </c>
      <c r="G170" s="23">
        <v>0</v>
      </c>
      <c r="H170" s="23">
        <v>4</v>
      </c>
      <c r="I170" s="23">
        <v>5</v>
      </c>
      <c r="J170" s="23">
        <v>4</v>
      </c>
      <c r="K170" s="23">
        <v>5</v>
      </c>
      <c r="L170" s="23">
        <v>5</v>
      </c>
      <c r="M170" s="23">
        <v>12</v>
      </c>
      <c r="N170" s="23">
        <v>9</v>
      </c>
      <c r="O170" s="23">
        <v>8</v>
      </c>
      <c r="P170" s="28">
        <v>4</v>
      </c>
    </row>
    <row r="171" spans="1:16" x14ac:dyDescent="0.25">
      <c r="A171" s="27">
        <v>44726</v>
      </c>
      <c r="B171" s="23">
        <v>68</v>
      </c>
      <c r="C171" s="23">
        <v>60</v>
      </c>
      <c r="D171" s="23">
        <v>55</v>
      </c>
      <c r="E171" s="23">
        <v>4</v>
      </c>
      <c r="F171" s="23">
        <v>7</v>
      </c>
      <c r="G171" s="23">
        <v>1</v>
      </c>
      <c r="H171" s="23">
        <v>6</v>
      </c>
      <c r="I171" s="23">
        <v>7</v>
      </c>
      <c r="J171" s="23">
        <v>8</v>
      </c>
      <c r="K171" s="23">
        <v>5</v>
      </c>
      <c r="L171" s="23">
        <v>2</v>
      </c>
      <c r="M171" s="23">
        <v>8</v>
      </c>
      <c r="N171" s="23">
        <v>3</v>
      </c>
      <c r="O171" s="23">
        <v>12</v>
      </c>
      <c r="P171" s="28">
        <v>4</v>
      </c>
    </row>
    <row r="172" spans="1:16" x14ac:dyDescent="0.25">
      <c r="A172" s="27">
        <v>44727</v>
      </c>
      <c r="B172" s="23">
        <v>67</v>
      </c>
      <c r="C172" s="23">
        <v>54</v>
      </c>
      <c r="D172" s="23">
        <v>52</v>
      </c>
      <c r="E172" s="23">
        <v>2</v>
      </c>
      <c r="F172" s="23">
        <v>13</v>
      </c>
      <c r="G172" s="23">
        <v>0</v>
      </c>
      <c r="H172" s="23">
        <v>2</v>
      </c>
      <c r="I172" s="23">
        <v>8</v>
      </c>
      <c r="J172" s="23">
        <v>4</v>
      </c>
      <c r="K172" s="23">
        <v>6</v>
      </c>
      <c r="L172" s="23">
        <v>1</v>
      </c>
      <c r="M172" s="23">
        <v>8</v>
      </c>
      <c r="N172" s="23">
        <v>7</v>
      </c>
      <c r="O172" s="23">
        <v>11</v>
      </c>
      <c r="P172" s="28">
        <v>5</v>
      </c>
    </row>
    <row r="173" spans="1:16" x14ac:dyDescent="0.25">
      <c r="A173" s="27">
        <v>44728</v>
      </c>
      <c r="B173" s="23">
        <v>59</v>
      </c>
      <c r="C173" s="23">
        <v>49</v>
      </c>
      <c r="D173" s="23">
        <v>46</v>
      </c>
      <c r="E173" s="23">
        <v>3</v>
      </c>
      <c r="F173" s="23">
        <v>9</v>
      </c>
      <c r="G173" s="23">
        <v>1</v>
      </c>
      <c r="H173" s="23">
        <v>6</v>
      </c>
      <c r="I173" s="23">
        <v>6</v>
      </c>
      <c r="J173" s="23">
        <v>5</v>
      </c>
      <c r="K173" s="23">
        <v>1</v>
      </c>
      <c r="L173" s="23">
        <v>2</v>
      </c>
      <c r="M173" s="23">
        <v>8</v>
      </c>
      <c r="N173" s="23">
        <v>9</v>
      </c>
      <c r="O173" s="23">
        <v>7</v>
      </c>
      <c r="P173" s="28">
        <v>2</v>
      </c>
    </row>
    <row r="174" spans="1:16" x14ac:dyDescent="0.25">
      <c r="A174" s="27">
        <v>44729</v>
      </c>
      <c r="B174" s="23">
        <v>45</v>
      </c>
      <c r="C174" s="23">
        <v>36</v>
      </c>
      <c r="D174" s="23">
        <v>33</v>
      </c>
      <c r="E174" s="23">
        <v>2</v>
      </c>
      <c r="F174" s="23">
        <v>7</v>
      </c>
      <c r="G174" s="23">
        <v>2</v>
      </c>
      <c r="H174" s="23">
        <v>2</v>
      </c>
      <c r="I174" s="23">
        <v>7</v>
      </c>
      <c r="J174" s="23">
        <v>4</v>
      </c>
      <c r="K174" s="23">
        <v>1</v>
      </c>
      <c r="L174" s="23">
        <v>1</v>
      </c>
      <c r="M174" s="23">
        <v>6</v>
      </c>
      <c r="N174" s="23">
        <v>3</v>
      </c>
      <c r="O174" s="23">
        <v>0</v>
      </c>
      <c r="P174" s="28">
        <v>9</v>
      </c>
    </row>
    <row r="175" spans="1:16" x14ac:dyDescent="0.25">
      <c r="A175" s="27">
        <v>44730</v>
      </c>
      <c r="B175" s="23">
        <v>3</v>
      </c>
      <c r="C175" s="23">
        <v>3</v>
      </c>
      <c r="D175" s="23">
        <v>3</v>
      </c>
      <c r="E175" s="23">
        <v>0</v>
      </c>
      <c r="F175" s="23">
        <v>0</v>
      </c>
      <c r="G175" s="23">
        <v>0</v>
      </c>
      <c r="H175" s="23">
        <v>0</v>
      </c>
      <c r="I175" s="23">
        <v>1</v>
      </c>
      <c r="J175" s="23">
        <v>1</v>
      </c>
      <c r="K175" s="23">
        <v>1</v>
      </c>
      <c r="L175" s="23">
        <v>0</v>
      </c>
      <c r="M175" s="23">
        <v>0</v>
      </c>
      <c r="N175" s="23">
        <v>0</v>
      </c>
      <c r="O175" s="23">
        <v>0</v>
      </c>
      <c r="P175" s="28">
        <v>0</v>
      </c>
    </row>
    <row r="176" spans="1:16" x14ac:dyDescent="0.25">
      <c r="A176" s="27">
        <v>44731</v>
      </c>
      <c r="B176" s="23">
        <v>1</v>
      </c>
      <c r="C176" s="23">
        <v>1</v>
      </c>
      <c r="D176" s="23">
        <v>1</v>
      </c>
      <c r="E176" s="23">
        <v>0</v>
      </c>
      <c r="F176" s="23">
        <v>0</v>
      </c>
      <c r="G176" s="23">
        <v>0</v>
      </c>
      <c r="H176" s="23">
        <v>0</v>
      </c>
      <c r="I176" s="23">
        <v>0</v>
      </c>
      <c r="J176" s="23">
        <v>0</v>
      </c>
      <c r="K176" s="23">
        <v>0</v>
      </c>
      <c r="L176" s="23">
        <v>0</v>
      </c>
      <c r="M176" s="23">
        <v>1</v>
      </c>
      <c r="N176" s="23">
        <v>0</v>
      </c>
      <c r="O176" s="23">
        <v>0</v>
      </c>
      <c r="P176" s="28">
        <v>0</v>
      </c>
    </row>
    <row r="177" spans="1:16" x14ac:dyDescent="0.25">
      <c r="A177" s="27">
        <v>44732</v>
      </c>
      <c r="B177" s="23">
        <v>72</v>
      </c>
      <c r="C177" s="23">
        <v>56</v>
      </c>
      <c r="D177" s="23">
        <v>55</v>
      </c>
      <c r="E177" s="23">
        <v>0</v>
      </c>
      <c r="F177" s="23">
        <v>12</v>
      </c>
      <c r="G177" s="23">
        <v>4</v>
      </c>
      <c r="H177" s="23">
        <v>1</v>
      </c>
      <c r="I177" s="23">
        <v>10</v>
      </c>
      <c r="J177" s="23">
        <v>3</v>
      </c>
      <c r="K177" s="23">
        <v>3</v>
      </c>
      <c r="L177" s="23">
        <v>10</v>
      </c>
      <c r="M177" s="23">
        <v>9</v>
      </c>
      <c r="N177" s="23">
        <v>5</v>
      </c>
      <c r="O177" s="23">
        <v>7</v>
      </c>
      <c r="P177" s="28">
        <v>7</v>
      </c>
    </row>
    <row r="178" spans="1:16" x14ac:dyDescent="0.25">
      <c r="A178" s="27">
        <v>44733</v>
      </c>
      <c r="B178" s="23">
        <v>58</v>
      </c>
      <c r="C178" s="23">
        <v>48</v>
      </c>
      <c r="D178" s="23">
        <v>44</v>
      </c>
      <c r="E178" s="23">
        <v>4</v>
      </c>
      <c r="F178" s="23">
        <v>9</v>
      </c>
      <c r="G178" s="23">
        <v>1</v>
      </c>
      <c r="H178" s="23">
        <v>5</v>
      </c>
      <c r="I178" s="23">
        <v>5</v>
      </c>
      <c r="J178" s="23">
        <v>6</v>
      </c>
      <c r="K178" s="23">
        <v>4</v>
      </c>
      <c r="L178" s="23">
        <v>5</v>
      </c>
      <c r="M178" s="23">
        <v>5</v>
      </c>
      <c r="N178" s="23">
        <v>3</v>
      </c>
      <c r="O178" s="23">
        <v>6</v>
      </c>
      <c r="P178" s="28">
        <v>5</v>
      </c>
    </row>
    <row r="179" spans="1:16" x14ac:dyDescent="0.25">
      <c r="A179" s="27">
        <v>44734</v>
      </c>
      <c r="B179" s="23">
        <v>78</v>
      </c>
      <c r="C179" s="23">
        <v>65</v>
      </c>
      <c r="D179" s="23">
        <v>62</v>
      </c>
      <c r="E179" s="23">
        <v>3</v>
      </c>
      <c r="F179" s="23">
        <v>10</v>
      </c>
      <c r="G179" s="23">
        <v>3</v>
      </c>
      <c r="H179" s="23">
        <v>2</v>
      </c>
      <c r="I179" s="23">
        <v>11</v>
      </c>
      <c r="J179" s="23">
        <v>5</v>
      </c>
      <c r="K179" s="23">
        <v>5</v>
      </c>
      <c r="L179" s="23">
        <v>3</v>
      </c>
      <c r="M179" s="23">
        <v>4</v>
      </c>
      <c r="N179" s="23">
        <v>14</v>
      </c>
      <c r="O179" s="23">
        <v>10</v>
      </c>
      <c r="P179" s="28">
        <v>8</v>
      </c>
    </row>
    <row r="180" spans="1:16" x14ac:dyDescent="0.25">
      <c r="A180" s="27">
        <v>44735</v>
      </c>
      <c r="B180" s="23">
        <v>69</v>
      </c>
      <c r="C180" s="23">
        <v>51</v>
      </c>
      <c r="D180" s="23">
        <v>48</v>
      </c>
      <c r="E180" s="23">
        <v>3</v>
      </c>
      <c r="F180" s="23">
        <v>17</v>
      </c>
      <c r="G180" s="23">
        <v>1</v>
      </c>
      <c r="H180" s="23">
        <v>2</v>
      </c>
      <c r="I180" s="23">
        <v>5</v>
      </c>
      <c r="J180" s="23">
        <v>5</v>
      </c>
      <c r="K180" s="23">
        <v>9</v>
      </c>
      <c r="L180" s="23">
        <v>2</v>
      </c>
      <c r="M180" s="23">
        <v>9</v>
      </c>
      <c r="N180" s="23">
        <v>7</v>
      </c>
      <c r="O180" s="23">
        <v>7</v>
      </c>
      <c r="P180" s="28">
        <v>2</v>
      </c>
    </row>
    <row r="181" spans="1:16" x14ac:dyDescent="0.25">
      <c r="A181" s="27">
        <v>44736</v>
      </c>
      <c r="B181" s="23">
        <v>67</v>
      </c>
      <c r="C181" s="23">
        <v>61</v>
      </c>
      <c r="D181" s="23">
        <v>57</v>
      </c>
      <c r="E181" s="23">
        <v>4</v>
      </c>
      <c r="F181" s="23">
        <v>5</v>
      </c>
      <c r="G181" s="23">
        <v>1</v>
      </c>
      <c r="H181" s="23">
        <v>5</v>
      </c>
      <c r="I181" s="23">
        <v>10</v>
      </c>
      <c r="J181" s="23">
        <v>8</v>
      </c>
      <c r="K181" s="23">
        <v>4</v>
      </c>
      <c r="L181" s="23">
        <v>5</v>
      </c>
      <c r="M181" s="23">
        <v>8</v>
      </c>
      <c r="N181" s="23">
        <v>9</v>
      </c>
      <c r="O181" s="23">
        <v>6</v>
      </c>
      <c r="P181" s="28">
        <v>2</v>
      </c>
    </row>
    <row r="182" spans="1:16" x14ac:dyDescent="0.25">
      <c r="A182" s="27">
        <v>44737</v>
      </c>
      <c r="B182" s="23">
        <v>4</v>
      </c>
      <c r="C182" s="23">
        <v>4</v>
      </c>
      <c r="D182" s="23">
        <v>4</v>
      </c>
      <c r="E182" s="23">
        <v>0</v>
      </c>
      <c r="F182" s="23">
        <v>0</v>
      </c>
      <c r="G182" s="23">
        <v>0</v>
      </c>
      <c r="H182" s="23">
        <v>0</v>
      </c>
      <c r="I182" s="23">
        <v>0</v>
      </c>
      <c r="J182" s="23">
        <v>1</v>
      </c>
      <c r="K182" s="23">
        <v>0</v>
      </c>
      <c r="L182" s="23">
        <v>1</v>
      </c>
      <c r="M182" s="23">
        <v>0</v>
      </c>
      <c r="N182" s="23">
        <v>2</v>
      </c>
      <c r="O182" s="23">
        <v>0</v>
      </c>
      <c r="P182" s="28">
        <v>0</v>
      </c>
    </row>
    <row r="183" spans="1:16" x14ac:dyDescent="0.25">
      <c r="A183" s="27">
        <v>44738</v>
      </c>
      <c r="B183" s="23">
        <v>2</v>
      </c>
      <c r="C183" s="23">
        <v>2</v>
      </c>
      <c r="D183" s="23">
        <v>2</v>
      </c>
      <c r="E183" s="23">
        <v>0</v>
      </c>
      <c r="F183" s="23">
        <v>0</v>
      </c>
      <c r="G183" s="23">
        <v>0</v>
      </c>
      <c r="H183" s="23">
        <v>0</v>
      </c>
      <c r="I183" s="23">
        <v>0</v>
      </c>
      <c r="J183" s="23">
        <v>0</v>
      </c>
      <c r="K183" s="23">
        <v>0</v>
      </c>
      <c r="L183" s="23">
        <v>0</v>
      </c>
      <c r="M183" s="23">
        <v>2</v>
      </c>
      <c r="N183" s="23">
        <v>0</v>
      </c>
      <c r="O183" s="23">
        <v>0</v>
      </c>
      <c r="P183" s="28">
        <v>0</v>
      </c>
    </row>
    <row r="184" spans="1:16" x14ac:dyDescent="0.25">
      <c r="A184" s="27">
        <v>44739</v>
      </c>
      <c r="B184" s="23">
        <v>60</v>
      </c>
      <c r="C184" s="23">
        <v>51</v>
      </c>
      <c r="D184" s="23">
        <v>49</v>
      </c>
      <c r="E184" s="23">
        <v>2</v>
      </c>
      <c r="F184" s="23">
        <v>8</v>
      </c>
      <c r="G184" s="23">
        <v>1</v>
      </c>
      <c r="H184" s="23">
        <v>3</v>
      </c>
      <c r="I184" s="23">
        <v>8</v>
      </c>
      <c r="J184" s="23">
        <v>5</v>
      </c>
      <c r="K184" s="23">
        <v>5</v>
      </c>
      <c r="L184" s="23">
        <v>4</v>
      </c>
      <c r="M184" s="23">
        <v>7</v>
      </c>
      <c r="N184" s="23">
        <v>7</v>
      </c>
      <c r="O184" s="23">
        <v>8</v>
      </c>
      <c r="P184" s="28">
        <v>2</v>
      </c>
    </row>
    <row r="185" spans="1:16" x14ac:dyDescent="0.25">
      <c r="A185" s="27">
        <v>44740</v>
      </c>
      <c r="B185" s="23">
        <v>82</v>
      </c>
      <c r="C185" s="23">
        <v>67</v>
      </c>
      <c r="D185" s="23">
        <v>63</v>
      </c>
      <c r="E185" s="23">
        <v>3</v>
      </c>
      <c r="F185" s="23">
        <v>11</v>
      </c>
      <c r="G185" s="23">
        <v>4</v>
      </c>
      <c r="H185" s="23">
        <v>5</v>
      </c>
      <c r="I185" s="23">
        <v>7</v>
      </c>
      <c r="J185" s="23">
        <v>3</v>
      </c>
      <c r="K185" s="23">
        <v>3</v>
      </c>
      <c r="L185" s="23">
        <v>9</v>
      </c>
      <c r="M185" s="23">
        <v>12</v>
      </c>
      <c r="N185" s="23">
        <v>11</v>
      </c>
      <c r="O185" s="23">
        <v>8</v>
      </c>
      <c r="P185" s="28">
        <v>5</v>
      </c>
    </row>
    <row r="186" spans="1:16" x14ac:dyDescent="0.25">
      <c r="A186" s="27">
        <v>44741</v>
      </c>
      <c r="B186" s="23">
        <v>87</v>
      </c>
      <c r="C186" s="23">
        <v>65</v>
      </c>
      <c r="D186" s="23">
        <v>58</v>
      </c>
      <c r="E186" s="23">
        <v>7</v>
      </c>
      <c r="F186" s="23">
        <v>19</v>
      </c>
      <c r="G186" s="23">
        <v>3</v>
      </c>
      <c r="H186" s="23">
        <v>1</v>
      </c>
      <c r="I186" s="23">
        <v>11</v>
      </c>
      <c r="J186" s="23">
        <v>8</v>
      </c>
      <c r="K186" s="23">
        <v>5</v>
      </c>
      <c r="L186" s="23">
        <v>6</v>
      </c>
      <c r="M186" s="23">
        <v>9</v>
      </c>
      <c r="N186" s="23">
        <v>6</v>
      </c>
      <c r="O186" s="23">
        <v>6</v>
      </c>
      <c r="P186" s="28">
        <v>6</v>
      </c>
    </row>
    <row r="187" spans="1:16" x14ac:dyDescent="0.25">
      <c r="A187" s="27">
        <v>44742</v>
      </c>
      <c r="B187" s="23">
        <v>104</v>
      </c>
      <c r="C187" s="23">
        <v>80</v>
      </c>
      <c r="D187" s="23">
        <v>76</v>
      </c>
      <c r="E187" s="23">
        <v>3</v>
      </c>
      <c r="F187" s="23">
        <v>17</v>
      </c>
      <c r="G187" s="23">
        <v>7</v>
      </c>
      <c r="H187" s="23">
        <v>5</v>
      </c>
      <c r="I187" s="23">
        <v>14</v>
      </c>
      <c r="J187" s="23">
        <v>6</v>
      </c>
      <c r="K187" s="23">
        <v>6</v>
      </c>
      <c r="L187" s="23">
        <v>8</v>
      </c>
      <c r="M187" s="23">
        <v>7</v>
      </c>
      <c r="N187" s="23">
        <v>13</v>
      </c>
      <c r="O187" s="23">
        <v>13</v>
      </c>
      <c r="P187" s="28">
        <v>4</v>
      </c>
    </row>
    <row r="188" spans="1:16" x14ac:dyDescent="0.25">
      <c r="A188" s="27">
        <v>44743</v>
      </c>
      <c r="B188" s="23">
        <v>78</v>
      </c>
      <c r="C188" s="23">
        <v>63</v>
      </c>
      <c r="D188" s="23">
        <v>57</v>
      </c>
      <c r="E188" s="23">
        <v>5</v>
      </c>
      <c r="F188" s="23">
        <v>11</v>
      </c>
      <c r="G188" s="23">
        <v>4</v>
      </c>
      <c r="H188" s="23">
        <v>2</v>
      </c>
      <c r="I188" s="23">
        <v>11</v>
      </c>
      <c r="J188" s="23">
        <v>1</v>
      </c>
      <c r="K188" s="23">
        <v>5</v>
      </c>
      <c r="L188" s="23">
        <v>0</v>
      </c>
      <c r="M188" s="23">
        <v>6</v>
      </c>
      <c r="N188" s="23">
        <v>11</v>
      </c>
      <c r="O188" s="23">
        <v>13</v>
      </c>
      <c r="P188" s="28">
        <v>8</v>
      </c>
    </row>
    <row r="189" spans="1:16" x14ac:dyDescent="0.25">
      <c r="A189" s="27">
        <v>44744</v>
      </c>
      <c r="B189" s="23">
        <v>4</v>
      </c>
      <c r="C189" s="23">
        <v>4</v>
      </c>
      <c r="D189" s="23">
        <v>4</v>
      </c>
      <c r="E189" s="23">
        <v>0</v>
      </c>
      <c r="F189" s="23">
        <v>0</v>
      </c>
      <c r="G189" s="23">
        <v>0</v>
      </c>
      <c r="H189" s="23">
        <v>0</v>
      </c>
      <c r="I189" s="23">
        <v>1</v>
      </c>
      <c r="J189" s="23">
        <v>1</v>
      </c>
      <c r="K189" s="23">
        <v>0</v>
      </c>
      <c r="L189" s="23">
        <v>0</v>
      </c>
      <c r="M189" s="23">
        <v>1</v>
      </c>
      <c r="N189" s="23">
        <v>0</v>
      </c>
      <c r="O189" s="23">
        <v>1</v>
      </c>
      <c r="P189" s="28">
        <v>0</v>
      </c>
    </row>
    <row r="190" spans="1:16" x14ac:dyDescent="0.25">
      <c r="A190" s="27">
        <v>44745</v>
      </c>
      <c r="B190" s="23">
        <v>0</v>
      </c>
      <c r="C190" s="23">
        <v>0</v>
      </c>
      <c r="D190" s="23">
        <v>0</v>
      </c>
      <c r="E190" s="23">
        <v>0</v>
      </c>
      <c r="F190" s="23">
        <v>0</v>
      </c>
      <c r="G190" s="23">
        <v>0</v>
      </c>
      <c r="H190" s="23">
        <v>0</v>
      </c>
      <c r="I190" s="23">
        <v>0</v>
      </c>
      <c r="J190" s="23">
        <v>0</v>
      </c>
      <c r="K190" s="23">
        <v>0</v>
      </c>
      <c r="L190" s="23">
        <v>0</v>
      </c>
      <c r="M190" s="23">
        <v>0</v>
      </c>
      <c r="N190" s="23">
        <v>0</v>
      </c>
      <c r="O190" s="23">
        <v>0</v>
      </c>
      <c r="P190" s="28">
        <v>0</v>
      </c>
    </row>
    <row r="191" spans="1:16" x14ac:dyDescent="0.25">
      <c r="A191" s="27">
        <v>44746</v>
      </c>
      <c r="B191" s="23">
        <v>104</v>
      </c>
      <c r="C191" s="23">
        <v>80</v>
      </c>
      <c r="D191" s="23">
        <v>75</v>
      </c>
      <c r="E191" s="23">
        <v>3</v>
      </c>
      <c r="F191" s="23">
        <v>18</v>
      </c>
      <c r="G191" s="23">
        <v>6</v>
      </c>
      <c r="H191" s="23">
        <v>2</v>
      </c>
      <c r="I191" s="23">
        <v>8</v>
      </c>
      <c r="J191" s="23">
        <v>8</v>
      </c>
      <c r="K191" s="23">
        <v>11</v>
      </c>
      <c r="L191" s="23">
        <v>14</v>
      </c>
      <c r="M191" s="23">
        <v>12</v>
      </c>
      <c r="N191" s="23">
        <v>3</v>
      </c>
      <c r="O191" s="23">
        <v>8</v>
      </c>
      <c r="P191" s="28">
        <v>9</v>
      </c>
    </row>
    <row r="192" spans="1:16" x14ac:dyDescent="0.25">
      <c r="A192" s="27">
        <v>44747</v>
      </c>
      <c r="B192" s="23">
        <v>91</v>
      </c>
      <c r="C192" s="23">
        <v>70</v>
      </c>
      <c r="D192" s="23">
        <v>65</v>
      </c>
      <c r="E192" s="23">
        <v>5</v>
      </c>
      <c r="F192" s="23">
        <v>14</v>
      </c>
      <c r="G192" s="23">
        <v>7</v>
      </c>
      <c r="H192" s="23">
        <v>2</v>
      </c>
      <c r="I192" s="23">
        <v>10</v>
      </c>
      <c r="J192" s="23">
        <v>4</v>
      </c>
      <c r="K192" s="23">
        <v>7</v>
      </c>
      <c r="L192" s="23">
        <v>4</v>
      </c>
      <c r="M192" s="23">
        <v>13</v>
      </c>
      <c r="N192" s="23">
        <v>6</v>
      </c>
      <c r="O192" s="23">
        <v>13</v>
      </c>
      <c r="P192" s="28">
        <v>6</v>
      </c>
    </row>
    <row r="193" spans="1:16" x14ac:dyDescent="0.25">
      <c r="A193" s="27">
        <v>44748</v>
      </c>
      <c r="B193" s="23">
        <v>109</v>
      </c>
      <c r="C193" s="23">
        <v>83</v>
      </c>
      <c r="D193" s="23">
        <v>75</v>
      </c>
      <c r="E193" s="23">
        <v>8</v>
      </c>
      <c r="F193" s="23">
        <v>23</v>
      </c>
      <c r="G193" s="23">
        <v>3</v>
      </c>
      <c r="H193" s="23">
        <v>5</v>
      </c>
      <c r="I193" s="23">
        <v>14</v>
      </c>
      <c r="J193" s="23">
        <v>8</v>
      </c>
      <c r="K193" s="23">
        <v>5</v>
      </c>
      <c r="L193" s="23">
        <v>9</v>
      </c>
      <c r="M193" s="23">
        <v>11</v>
      </c>
      <c r="N193" s="23">
        <v>12</v>
      </c>
      <c r="O193" s="23">
        <v>5</v>
      </c>
      <c r="P193" s="28">
        <v>6</v>
      </c>
    </row>
    <row r="194" spans="1:16" x14ac:dyDescent="0.25">
      <c r="A194" s="27">
        <v>44749</v>
      </c>
      <c r="B194" s="23">
        <v>113</v>
      </c>
      <c r="C194" s="23">
        <v>98</v>
      </c>
      <c r="D194" s="23">
        <v>96</v>
      </c>
      <c r="E194" s="23">
        <v>2</v>
      </c>
      <c r="F194" s="23">
        <v>12</v>
      </c>
      <c r="G194" s="23">
        <v>3</v>
      </c>
      <c r="H194" s="23">
        <v>6</v>
      </c>
      <c r="I194" s="23">
        <v>13</v>
      </c>
      <c r="J194" s="23">
        <v>8</v>
      </c>
      <c r="K194" s="23">
        <v>13</v>
      </c>
      <c r="L194" s="23">
        <v>8</v>
      </c>
      <c r="M194" s="23">
        <v>10</v>
      </c>
      <c r="N194" s="23">
        <v>15</v>
      </c>
      <c r="O194" s="23">
        <v>14</v>
      </c>
      <c r="P194" s="28">
        <v>9</v>
      </c>
    </row>
    <row r="195" spans="1:16" x14ac:dyDescent="0.25">
      <c r="A195" s="27">
        <v>44750</v>
      </c>
      <c r="B195" s="23">
        <v>107</v>
      </c>
      <c r="C195" s="23">
        <v>88</v>
      </c>
      <c r="D195" s="23">
        <v>84</v>
      </c>
      <c r="E195" s="23">
        <v>4</v>
      </c>
      <c r="F195" s="23">
        <v>14</v>
      </c>
      <c r="G195" s="23">
        <v>5</v>
      </c>
      <c r="H195" s="23">
        <v>6</v>
      </c>
      <c r="I195" s="23">
        <v>9</v>
      </c>
      <c r="J195" s="23">
        <v>12</v>
      </c>
      <c r="K195" s="23">
        <v>6</v>
      </c>
      <c r="L195" s="23">
        <v>9</v>
      </c>
      <c r="M195" s="23">
        <v>12</v>
      </c>
      <c r="N195" s="23">
        <v>12</v>
      </c>
      <c r="O195" s="23">
        <v>11</v>
      </c>
      <c r="P195" s="28">
        <v>7</v>
      </c>
    </row>
    <row r="196" spans="1:16" x14ac:dyDescent="0.25">
      <c r="A196" s="27">
        <v>44751</v>
      </c>
      <c r="B196" s="23">
        <v>3</v>
      </c>
      <c r="C196" s="23">
        <v>3</v>
      </c>
      <c r="D196" s="23">
        <v>3</v>
      </c>
      <c r="E196" s="23">
        <v>0</v>
      </c>
      <c r="F196" s="23">
        <v>0</v>
      </c>
      <c r="G196" s="23">
        <v>0</v>
      </c>
      <c r="H196" s="23">
        <v>0</v>
      </c>
      <c r="I196" s="23">
        <v>1</v>
      </c>
      <c r="J196" s="23">
        <v>0</v>
      </c>
      <c r="K196" s="23">
        <v>0</v>
      </c>
      <c r="L196" s="23">
        <v>0</v>
      </c>
      <c r="M196" s="23">
        <v>1</v>
      </c>
      <c r="N196" s="23">
        <v>0</v>
      </c>
      <c r="O196" s="23">
        <v>0</v>
      </c>
      <c r="P196" s="28">
        <v>1</v>
      </c>
    </row>
    <row r="197" spans="1:16" x14ac:dyDescent="0.25">
      <c r="A197" s="27">
        <v>44752</v>
      </c>
      <c r="B197" s="23">
        <v>2</v>
      </c>
      <c r="C197" s="23">
        <v>0</v>
      </c>
      <c r="D197" s="23">
        <v>0</v>
      </c>
      <c r="E197" s="23">
        <v>0</v>
      </c>
      <c r="F197" s="23">
        <v>2</v>
      </c>
      <c r="G197" s="23">
        <v>0</v>
      </c>
      <c r="H197" s="23">
        <v>0</v>
      </c>
      <c r="I197" s="23">
        <v>0</v>
      </c>
      <c r="J197" s="23">
        <v>0</v>
      </c>
      <c r="K197" s="23">
        <v>0</v>
      </c>
      <c r="L197" s="23">
        <v>0</v>
      </c>
      <c r="M197" s="23">
        <v>0</v>
      </c>
      <c r="N197" s="23">
        <v>0</v>
      </c>
      <c r="O197" s="23">
        <v>0</v>
      </c>
      <c r="P197" s="28">
        <v>0</v>
      </c>
    </row>
    <row r="198" spans="1:16" x14ac:dyDescent="0.25">
      <c r="A198" s="27">
        <v>44753</v>
      </c>
      <c r="B198" s="23">
        <v>128</v>
      </c>
      <c r="C198" s="23">
        <v>102</v>
      </c>
      <c r="D198" s="23">
        <v>95</v>
      </c>
      <c r="E198" s="23">
        <v>7</v>
      </c>
      <c r="F198" s="23">
        <v>18</v>
      </c>
      <c r="G198" s="23">
        <v>8</v>
      </c>
      <c r="H198" s="23">
        <v>10</v>
      </c>
      <c r="I198" s="23">
        <v>11</v>
      </c>
      <c r="J198" s="23">
        <v>7</v>
      </c>
      <c r="K198" s="23">
        <v>7</v>
      </c>
      <c r="L198" s="23">
        <v>11</v>
      </c>
      <c r="M198" s="23">
        <v>8</v>
      </c>
      <c r="N198" s="23">
        <v>12</v>
      </c>
      <c r="O198" s="23">
        <v>19</v>
      </c>
      <c r="P198" s="28">
        <v>10</v>
      </c>
    </row>
    <row r="199" spans="1:16" x14ac:dyDescent="0.25">
      <c r="A199" s="27">
        <v>44754</v>
      </c>
      <c r="B199" s="23">
        <v>142</v>
      </c>
      <c r="C199" s="23">
        <v>123</v>
      </c>
      <c r="D199" s="23">
        <v>117</v>
      </c>
      <c r="E199" s="23">
        <v>5</v>
      </c>
      <c r="F199" s="23">
        <v>19</v>
      </c>
      <c r="G199" s="23">
        <v>0</v>
      </c>
      <c r="H199" s="23">
        <v>5</v>
      </c>
      <c r="I199" s="23">
        <v>12</v>
      </c>
      <c r="J199" s="23">
        <v>7</v>
      </c>
      <c r="K199" s="23">
        <v>15</v>
      </c>
      <c r="L199" s="23">
        <v>9</v>
      </c>
      <c r="M199" s="23">
        <v>17</v>
      </c>
      <c r="N199" s="23">
        <v>15</v>
      </c>
      <c r="O199" s="23">
        <v>22</v>
      </c>
      <c r="P199" s="28">
        <v>15</v>
      </c>
    </row>
    <row r="200" spans="1:16" x14ac:dyDescent="0.25">
      <c r="A200" s="27">
        <v>44755</v>
      </c>
      <c r="B200" s="23">
        <v>141</v>
      </c>
      <c r="C200" s="23">
        <v>129</v>
      </c>
      <c r="D200" s="23">
        <v>122</v>
      </c>
      <c r="E200" s="23">
        <v>7</v>
      </c>
      <c r="F200" s="23">
        <v>12</v>
      </c>
      <c r="G200" s="23">
        <v>0</v>
      </c>
      <c r="H200" s="23">
        <v>4</v>
      </c>
      <c r="I200" s="23">
        <v>20</v>
      </c>
      <c r="J200" s="23">
        <v>14</v>
      </c>
      <c r="K200" s="23">
        <v>14</v>
      </c>
      <c r="L200" s="23">
        <v>14</v>
      </c>
      <c r="M200" s="23">
        <v>13</v>
      </c>
      <c r="N200" s="23">
        <v>13</v>
      </c>
      <c r="O200" s="23">
        <v>19</v>
      </c>
      <c r="P200" s="28">
        <v>11</v>
      </c>
    </row>
    <row r="201" spans="1:16" x14ac:dyDescent="0.25">
      <c r="A201" s="27">
        <v>44756</v>
      </c>
      <c r="B201" s="23">
        <v>134</v>
      </c>
      <c r="C201" s="23">
        <v>99</v>
      </c>
      <c r="D201" s="23">
        <v>89</v>
      </c>
      <c r="E201" s="23">
        <v>10</v>
      </c>
      <c r="F201" s="23">
        <v>23</v>
      </c>
      <c r="G201" s="23">
        <v>12</v>
      </c>
      <c r="H201" s="23">
        <v>3</v>
      </c>
      <c r="I201" s="23">
        <v>11</v>
      </c>
      <c r="J201" s="23">
        <v>10</v>
      </c>
      <c r="K201" s="23">
        <v>5</v>
      </c>
      <c r="L201" s="23">
        <v>13</v>
      </c>
      <c r="M201" s="23">
        <v>11</v>
      </c>
      <c r="N201" s="23">
        <v>15</v>
      </c>
      <c r="O201" s="23">
        <v>15</v>
      </c>
      <c r="P201" s="28">
        <v>6</v>
      </c>
    </row>
    <row r="202" spans="1:16" x14ac:dyDescent="0.25">
      <c r="A202" s="27">
        <v>44757</v>
      </c>
      <c r="B202" s="23">
        <v>152</v>
      </c>
      <c r="C202" s="23">
        <v>129</v>
      </c>
      <c r="D202" s="23">
        <v>116</v>
      </c>
      <c r="E202" s="23">
        <v>12</v>
      </c>
      <c r="F202" s="23">
        <v>16</v>
      </c>
      <c r="G202" s="23">
        <v>7</v>
      </c>
      <c r="H202" s="23">
        <v>9</v>
      </c>
      <c r="I202" s="23">
        <v>17</v>
      </c>
      <c r="J202" s="23">
        <v>11</v>
      </c>
      <c r="K202" s="23">
        <v>8</v>
      </c>
      <c r="L202" s="23">
        <v>11</v>
      </c>
      <c r="M202" s="23">
        <v>16</v>
      </c>
      <c r="N202" s="23">
        <v>11</v>
      </c>
      <c r="O202" s="23">
        <v>22</v>
      </c>
      <c r="P202" s="28">
        <v>11</v>
      </c>
    </row>
    <row r="203" spans="1:16" x14ac:dyDescent="0.25">
      <c r="A203" s="27">
        <v>44758</v>
      </c>
      <c r="B203" s="23">
        <v>4</v>
      </c>
      <c r="C203" s="23">
        <v>4</v>
      </c>
      <c r="D203" s="23">
        <v>4</v>
      </c>
      <c r="E203" s="23">
        <v>0</v>
      </c>
      <c r="F203" s="23">
        <v>0</v>
      </c>
      <c r="G203" s="23">
        <v>0</v>
      </c>
      <c r="H203" s="23">
        <v>0</v>
      </c>
      <c r="I203" s="23">
        <v>0</v>
      </c>
      <c r="J203" s="23">
        <v>0</v>
      </c>
      <c r="K203" s="23">
        <v>0</v>
      </c>
      <c r="L203" s="23">
        <v>1</v>
      </c>
      <c r="M203" s="23">
        <v>2</v>
      </c>
      <c r="N203" s="23">
        <v>1</v>
      </c>
      <c r="O203" s="23">
        <v>0</v>
      </c>
      <c r="P203" s="28">
        <v>0</v>
      </c>
    </row>
    <row r="204" spans="1:16" x14ac:dyDescent="0.25">
      <c r="A204" s="27">
        <v>44759</v>
      </c>
      <c r="B204" s="23">
        <v>0</v>
      </c>
      <c r="C204" s="23">
        <v>0</v>
      </c>
      <c r="D204" s="23">
        <v>0</v>
      </c>
      <c r="E204" s="23">
        <v>0</v>
      </c>
      <c r="F204" s="23">
        <v>0</v>
      </c>
      <c r="G204" s="23">
        <v>0</v>
      </c>
      <c r="H204" s="23">
        <v>0</v>
      </c>
      <c r="I204" s="23">
        <v>0</v>
      </c>
      <c r="J204" s="23">
        <v>0</v>
      </c>
      <c r="K204" s="23">
        <v>0</v>
      </c>
      <c r="L204" s="23">
        <v>0</v>
      </c>
      <c r="M204" s="23">
        <v>0</v>
      </c>
      <c r="N204" s="23">
        <v>0</v>
      </c>
      <c r="O204" s="23">
        <v>0</v>
      </c>
      <c r="P204" s="28">
        <v>0</v>
      </c>
    </row>
    <row r="205" spans="1:16" x14ac:dyDescent="0.25">
      <c r="A205" s="27">
        <v>44760</v>
      </c>
      <c r="B205" s="23">
        <v>159</v>
      </c>
      <c r="C205" s="23">
        <v>125</v>
      </c>
      <c r="D205" s="23">
        <v>119</v>
      </c>
      <c r="E205" s="23">
        <v>6</v>
      </c>
      <c r="F205" s="23">
        <v>23</v>
      </c>
      <c r="G205" s="23">
        <v>11</v>
      </c>
      <c r="H205" s="23">
        <v>7</v>
      </c>
      <c r="I205" s="23">
        <v>14</v>
      </c>
      <c r="J205" s="23">
        <v>11</v>
      </c>
      <c r="K205" s="23">
        <v>12</v>
      </c>
      <c r="L205" s="23">
        <v>17</v>
      </c>
      <c r="M205" s="23">
        <v>14</v>
      </c>
      <c r="N205" s="23">
        <v>10</v>
      </c>
      <c r="O205" s="23">
        <v>23</v>
      </c>
      <c r="P205" s="28">
        <v>11</v>
      </c>
    </row>
    <row r="206" spans="1:16" x14ac:dyDescent="0.25">
      <c r="A206" s="27">
        <v>44761</v>
      </c>
      <c r="B206" s="23">
        <v>174</v>
      </c>
      <c r="C206" s="23">
        <v>146</v>
      </c>
      <c r="D206" s="23">
        <v>133</v>
      </c>
      <c r="E206" s="23">
        <v>12</v>
      </c>
      <c r="F206" s="23">
        <v>27</v>
      </c>
      <c r="G206" s="23">
        <v>1</v>
      </c>
      <c r="H206" s="23">
        <v>5</v>
      </c>
      <c r="I206" s="23">
        <v>17</v>
      </c>
      <c r="J206" s="23">
        <v>15</v>
      </c>
      <c r="K206" s="23">
        <v>12</v>
      </c>
      <c r="L206" s="23">
        <v>18</v>
      </c>
      <c r="M206" s="23">
        <v>13</v>
      </c>
      <c r="N206" s="23">
        <v>15</v>
      </c>
      <c r="O206" s="23">
        <v>16</v>
      </c>
      <c r="P206" s="28">
        <v>22</v>
      </c>
    </row>
    <row r="207" spans="1:16" x14ac:dyDescent="0.25">
      <c r="A207" s="27">
        <v>44762</v>
      </c>
      <c r="B207" s="23">
        <v>150</v>
      </c>
      <c r="C207" s="23">
        <v>133</v>
      </c>
      <c r="D207" s="23">
        <v>124</v>
      </c>
      <c r="E207" s="23">
        <v>9</v>
      </c>
      <c r="F207" s="23">
        <v>12</v>
      </c>
      <c r="G207" s="23">
        <v>5</v>
      </c>
      <c r="H207" s="23">
        <v>5</v>
      </c>
      <c r="I207" s="23">
        <v>10</v>
      </c>
      <c r="J207" s="23">
        <v>11</v>
      </c>
      <c r="K207" s="23">
        <v>19</v>
      </c>
      <c r="L207" s="23">
        <v>13</v>
      </c>
      <c r="M207" s="23">
        <v>16</v>
      </c>
      <c r="N207" s="23">
        <v>16</v>
      </c>
      <c r="O207" s="23">
        <v>13</v>
      </c>
      <c r="P207" s="28">
        <v>21</v>
      </c>
    </row>
    <row r="208" spans="1:16" x14ac:dyDescent="0.25">
      <c r="A208" s="27">
        <v>44763</v>
      </c>
      <c r="B208" s="23">
        <v>196</v>
      </c>
      <c r="C208" s="23">
        <v>175</v>
      </c>
      <c r="D208" s="23">
        <v>165</v>
      </c>
      <c r="E208" s="23">
        <v>9</v>
      </c>
      <c r="F208" s="23">
        <v>16</v>
      </c>
      <c r="G208" s="23">
        <v>5</v>
      </c>
      <c r="H208" s="23">
        <v>8</v>
      </c>
      <c r="I208" s="23">
        <v>24</v>
      </c>
      <c r="J208" s="23">
        <v>15</v>
      </c>
      <c r="K208" s="23">
        <v>18</v>
      </c>
      <c r="L208" s="23">
        <v>16</v>
      </c>
      <c r="M208" s="23">
        <v>13</v>
      </c>
      <c r="N208" s="23">
        <v>19</v>
      </c>
      <c r="O208" s="23">
        <v>26</v>
      </c>
      <c r="P208" s="28">
        <v>26</v>
      </c>
    </row>
    <row r="209" spans="1:16" x14ac:dyDescent="0.25">
      <c r="A209" s="27">
        <v>44764</v>
      </c>
      <c r="B209" s="23">
        <v>187</v>
      </c>
      <c r="C209" s="23">
        <v>162</v>
      </c>
      <c r="D209" s="23">
        <v>152</v>
      </c>
      <c r="E209" s="23">
        <v>10</v>
      </c>
      <c r="F209" s="23">
        <v>20</v>
      </c>
      <c r="G209" s="23">
        <v>5</v>
      </c>
      <c r="H209" s="23">
        <v>6</v>
      </c>
      <c r="I209" s="23">
        <v>25</v>
      </c>
      <c r="J209" s="23">
        <v>14</v>
      </c>
      <c r="K209" s="23">
        <v>18</v>
      </c>
      <c r="L209" s="23">
        <v>21</v>
      </c>
      <c r="M209" s="23">
        <v>17</v>
      </c>
      <c r="N209" s="23">
        <v>21</v>
      </c>
      <c r="O209" s="23">
        <v>18</v>
      </c>
      <c r="P209" s="28">
        <v>12</v>
      </c>
    </row>
    <row r="210" spans="1:16" x14ac:dyDescent="0.25">
      <c r="A210" s="27">
        <v>44765</v>
      </c>
      <c r="B210" s="23">
        <v>12</v>
      </c>
      <c r="C210" s="23">
        <v>11</v>
      </c>
      <c r="D210" s="23">
        <v>11</v>
      </c>
      <c r="E210" s="23">
        <v>0</v>
      </c>
      <c r="F210" s="23">
        <v>1</v>
      </c>
      <c r="G210" s="23">
        <v>0</v>
      </c>
      <c r="H210" s="23">
        <v>1</v>
      </c>
      <c r="I210" s="23">
        <v>1</v>
      </c>
      <c r="J210" s="23">
        <v>3</v>
      </c>
      <c r="K210" s="23">
        <v>2</v>
      </c>
      <c r="L210" s="23">
        <v>3</v>
      </c>
      <c r="M210" s="23">
        <v>0</v>
      </c>
      <c r="N210" s="23">
        <v>1</v>
      </c>
      <c r="O210" s="23">
        <v>0</v>
      </c>
      <c r="P210" s="28">
        <v>0</v>
      </c>
    </row>
    <row r="211" spans="1:16" x14ac:dyDescent="0.25">
      <c r="A211" s="27">
        <v>44766</v>
      </c>
      <c r="B211" s="23">
        <v>0</v>
      </c>
      <c r="C211" s="23">
        <v>0</v>
      </c>
      <c r="D211" s="23">
        <v>0</v>
      </c>
      <c r="E211" s="23">
        <v>0</v>
      </c>
      <c r="F211" s="23">
        <v>0</v>
      </c>
      <c r="G211" s="23">
        <v>0</v>
      </c>
      <c r="H211" s="23">
        <v>0</v>
      </c>
      <c r="I211" s="23">
        <v>0</v>
      </c>
      <c r="J211" s="23">
        <v>0</v>
      </c>
      <c r="K211" s="23">
        <v>0</v>
      </c>
      <c r="L211" s="23">
        <v>0</v>
      </c>
      <c r="M211" s="23">
        <v>0</v>
      </c>
      <c r="N211" s="23">
        <v>0</v>
      </c>
      <c r="O211" s="23">
        <v>0</v>
      </c>
      <c r="P211" s="28">
        <v>0</v>
      </c>
    </row>
    <row r="212" spans="1:16" x14ac:dyDescent="0.25">
      <c r="A212" s="27">
        <v>44767</v>
      </c>
      <c r="B212" s="23">
        <v>177</v>
      </c>
      <c r="C212" s="23">
        <v>157</v>
      </c>
      <c r="D212" s="23">
        <v>144</v>
      </c>
      <c r="E212" s="23">
        <v>12</v>
      </c>
      <c r="F212" s="23">
        <v>13</v>
      </c>
      <c r="G212" s="23">
        <v>7</v>
      </c>
      <c r="H212" s="23">
        <v>7</v>
      </c>
      <c r="I212" s="23">
        <v>9</v>
      </c>
      <c r="J212" s="23">
        <v>14</v>
      </c>
      <c r="K212" s="23">
        <v>18</v>
      </c>
      <c r="L212" s="23">
        <v>15</v>
      </c>
      <c r="M212" s="23">
        <v>20</v>
      </c>
      <c r="N212" s="23">
        <v>14</v>
      </c>
      <c r="O212" s="23">
        <v>28</v>
      </c>
      <c r="P212" s="28">
        <v>19</v>
      </c>
    </row>
    <row r="213" spans="1:16" x14ac:dyDescent="0.25">
      <c r="A213" s="27">
        <v>44768</v>
      </c>
      <c r="B213" s="23">
        <v>193</v>
      </c>
      <c r="C213" s="23">
        <v>179</v>
      </c>
      <c r="D213" s="23">
        <v>168</v>
      </c>
      <c r="E213" s="23">
        <v>10</v>
      </c>
      <c r="F213" s="23">
        <v>12</v>
      </c>
      <c r="G213" s="23">
        <v>2</v>
      </c>
      <c r="H213" s="23">
        <v>8</v>
      </c>
      <c r="I213" s="23">
        <v>20</v>
      </c>
      <c r="J213" s="23">
        <v>17</v>
      </c>
      <c r="K213" s="23">
        <v>15</v>
      </c>
      <c r="L213" s="23">
        <v>20</v>
      </c>
      <c r="M213" s="23">
        <v>19</v>
      </c>
      <c r="N213" s="23">
        <v>19</v>
      </c>
      <c r="O213" s="23">
        <v>32</v>
      </c>
      <c r="P213" s="28">
        <v>18</v>
      </c>
    </row>
    <row r="214" spans="1:16" x14ac:dyDescent="0.25">
      <c r="A214" s="27">
        <v>44769</v>
      </c>
      <c r="B214" s="23">
        <v>186</v>
      </c>
      <c r="C214" s="23">
        <v>155</v>
      </c>
      <c r="D214" s="23">
        <v>147</v>
      </c>
      <c r="E214" s="23">
        <v>8</v>
      </c>
      <c r="F214" s="23">
        <v>27</v>
      </c>
      <c r="G214" s="23">
        <v>4</v>
      </c>
      <c r="H214" s="23">
        <v>12</v>
      </c>
      <c r="I214" s="23">
        <v>20</v>
      </c>
      <c r="J214" s="23">
        <v>14</v>
      </c>
      <c r="K214" s="23">
        <v>10</v>
      </c>
      <c r="L214" s="23">
        <v>17</v>
      </c>
      <c r="M214" s="23">
        <v>24</v>
      </c>
      <c r="N214" s="23">
        <v>11</v>
      </c>
      <c r="O214" s="23">
        <v>22</v>
      </c>
      <c r="P214" s="28">
        <v>17</v>
      </c>
    </row>
    <row r="215" spans="1:16" x14ac:dyDescent="0.25">
      <c r="A215" s="27">
        <v>44770</v>
      </c>
      <c r="B215" s="23">
        <v>185</v>
      </c>
      <c r="C215" s="23">
        <v>158</v>
      </c>
      <c r="D215" s="23">
        <v>144</v>
      </c>
      <c r="E215" s="23">
        <v>14</v>
      </c>
      <c r="F215" s="23">
        <v>24</v>
      </c>
      <c r="G215" s="23">
        <v>3</v>
      </c>
      <c r="H215" s="23">
        <v>6</v>
      </c>
      <c r="I215" s="23">
        <v>17</v>
      </c>
      <c r="J215" s="23">
        <v>11</v>
      </c>
      <c r="K215" s="23">
        <v>21</v>
      </c>
      <c r="L215" s="23">
        <v>19</v>
      </c>
      <c r="M215" s="23">
        <v>22</v>
      </c>
      <c r="N215" s="23">
        <v>12</v>
      </c>
      <c r="O215" s="23">
        <v>19</v>
      </c>
      <c r="P215" s="28">
        <v>17</v>
      </c>
    </row>
    <row r="216" spans="1:16" x14ac:dyDescent="0.25">
      <c r="A216" s="27">
        <v>44771</v>
      </c>
      <c r="B216" s="23">
        <v>175</v>
      </c>
      <c r="C216" s="23">
        <v>150</v>
      </c>
      <c r="D216" s="23">
        <v>131</v>
      </c>
      <c r="E216" s="23">
        <v>18</v>
      </c>
      <c r="F216" s="23">
        <v>19</v>
      </c>
      <c r="G216" s="23">
        <v>6</v>
      </c>
      <c r="H216" s="23">
        <v>3</v>
      </c>
      <c r="I216" s="23">
        <v>15</v>
      </c>
      <c r="J216" s="23">
        <v>18</v>
      </c>
      <c r="K216" s="23">
        <v>21</v>
      </c>
      <c r="L216" s="23">
        <v>19</v>
      </c>
      <c r="M216" s="23">
        <v>16</v>
      </c>
      <c r="N216" s="23">
        <v>7</v>
      </c>
      <c r="O216" s="23">
        <v>26</v>
      </c>
      <c r="P216" s="28">
        <v>6</v>
      </c>
    </row>
    <row r="217" spans="1:16" x14ac:dyDescent="0.25">
      <c r="A217" s="27">
        <v>44772</v>
      </c>
      <c r="B217" s="23">
        <v>7</v>
      </c>
      <c r="C217" s="23">
        <v>7</v>
      </c>
      <c r="D217" s="23">
        <v>7</v>
      </c>
      <c r="E217" s="23">
        <v>0</v>
      </c>
      <c r="F217" s="23">
        <v>0</v>
      </c>
      <c r="G217" s="23">
        <v>0</v>
      </c>
      <c r="H217" s="23">
        <v>0</v>
      </c>
      <c r="I217" s="23">
        <v>0</v>
      </c>
      <c r="J217" s="23">
        <v>1</v>
      </c>
      <c r="K217" s="23">
        <v>2</v>
      </c>
      <c r="L217" s="23">
        <v>0</v>
      </c>
      <c r="M217" s="23">
        <v>3</v>
      </c>
      <c r="N217" s="23">
        <v>1</v>
      </c>
      <c r="O217" s="23">
        <v>0</v>
      </c>
      <c r="P217" s="28">
        <v>0</v>
      </c>
    </row>
    <row r="218" spans="1:16" x14ac:dyDescent="0.25">
      <c r="A218" s="27">
        <v>44773</v>
      </c>
      <c r="B218" s="23">
        <v>0</v>
      </c>
      <c r="C218" s="23">
        <v>0</v>
      </c>
      <c r="D218" s="23">
        <v>0</v>
      </c>
      <c r="E218" s="23">
        <v>0</v>
      </c>
      <c r="F218" s="23">
        <v>0</v>
      </c>
      <c r="G218" s="23">
        <v>0</v>
      </c>
      <c r="H218" s="23">
        <v>0</v>
      </c>
      <c r="I218" s="23">
        <v>0</v>
      </c>
      <c r="J218" s="23">
        <v>0</v>
      </c>
      <c r="K218" s="23">
        <v>0</v>
      </c>
      <c r="L218" s="23">
        <v>0</v>
      </c>
      <c r="M218" s="23">
        <v>0</v>
      </c>
      <c r="N218" s="23">
        <v>0</v>
      </c>
      <c r="O218" s="23">
        <v>0</v>
      </c>
      <c r="P218" s="28">
        <v>0</v>
      </c>
    </row>
    <row r="219" spans="1:16" x14ac:dyDescent="0.25">
      <c r="A219" s="27">
        <v>44774</v>
      </c>
      <c r="B219" s="23">
        <v>157</v>
      </c>
      <c r="C219" s="23">
        <v>138</v>
      </c>
      <c r="D219" s="23">
        <v>128</v>
      </c>
      <c r="E219" s="23">
        <v>10</v>
      </c>
      <c r="F219" s="23">
        <v>11</v>
      </c>
      <c r="G219" s="23">
        <v>8</v>
      </c>
      <c r="H219" s="23">
        <v>4</v>
      </c>
      <c r="I219" s="23">
        <v>20</v>
      </c>
      <c r="J219" s="23">
        <v>9</v>
      </c>
      <c r="K219" s="23">
        <v>14</v>
      </c>
      <c r="L219" s="23">
        <v>16</v>
      </c>
      <c r="M219" s="23">
        <v>13</v>
      </c>
      <c r="N219" s="23">
        <v>17</v>
      </c>
      <c r="O219" s="23">
        <v>23</v>
      </c>
      <c r="P219" s="28">
        <v>12</v>
      </c>
    </row>
    <row r="220" spans="1:16" x14ac:dyDescent="0.25">
      <c r="A220" s="27">
        <v>44775</v>
      </c>
      <c r="B220" s="23">
        <v>159</v>
      </c>
      <c r="C220" s="23">
        <v>141</v>
      </c>
      <c r="D220" s="23">
        <v>134</v>
      </c>
      <c r="E220" s="23">
        <v>7</v>
      </c>
      <c r="F220" s="23">
        <v>17</v>
      </c>
      <c r="G220" s="23">
        <v>1</v>
      </c>
      <c r="H220" s="23">
        <v>6</v>
      </c>
      <c r="I220" s="23">
        <v>14</v>
      </c>
      <c r="J220" s="23">
        <v>14</v>
      </c>
      <c r="K220" s="23">
        <v>17</v>
      </c>
      <c r="L220" s="23">
        <v>21</v>
      </c>
      <c r="M220" s="23">
        <v>18</v>
      </c>
      <c r="N220" s="23">
        <v>18</v>
      </c>
      <c r="O220" s="23">
        <v>18</v>
      </c>
      <c r="P220" s="28">
        <v>8</v>
      </c>
    </row>
    <row r="221" spans="1:16" x14ac:dyDescent="0.25">
      <c r="A221" s="27">
        <v>44776</v>
      </c>
      <c r="B221" s="23">
        <v>164</v>
      </c>
      <c r="C221" s="23">
        <v>151</v>
      </c>
      <c r="D221" s="23">
        <v>143</v>
      </c>
      <c r="E221" s="23">
        <v>7</v>
      </c>
      <c r="F221" s="23">
        <v>11</v>
      </c>
      <c r="G221" s="23">
        <v>2</v>
      </c>
      <c r="H221" s="23">
        <v>10</v>
      </c>
      <c r="I221" s="23">
        <v>18</v>
      </c>
      <c r="J221" s="23">
        <v>14</v>
      </c>
      <c r="K221" s="23">
        <v>14</v>
      </c>
      <c r="L221" s="23">
        <v>15</v>
      </c>
      <c r="M221" s="23">
        <v>18</v>
      </c>
      <c r="N221" s="23">
        <v>15</v>
      </c>
      <c r="O221" s="23">
        <v>26</v>
      </c>
      <c r="P221" s="28">
        <v>13</v>
      </c>
    </row>
    <row r="222" spans="1:16" x14ac:dyDescent="0.25">
      <c r="A222" s="27">
        <v>44777</v>
      </c>
      <c r="B222" s="23">
        <v>164</v>
      </c>
      <c r="C222" s="23">
        <v>146</v>
      </c>
      <c r="D222" s="23">
        <v>142</v>
      </c>
      <c r="E222" s="23">
        <v>3</v>
      </c>
      <c r="F222" s="23">
        <v>10</v>
      </c>
      <c r="G222" s="23">
        <v>8</v>
      </c>
      <c r="H222" s="23">
        <v>13</v>
      </c>
      <c r="I222" s="23">
        <v>18</v>
      </c>
      <c r="J222" s="23">
        <v>14</v>
      </c>
      <c r="K222" s="23">
        <v>13</v>
      </c>
      <c r="L222" s="23">
        <v>17</v>
      </c>
      <c r="M222" s="23">
        <v>15</v>
      </c>
      <c r="N222" s="23">
        <v>15</v>
      </c>
      <c r="O222" s="23">
        <v>26</v>
      </c>
      <c r="P222" s="28">
        <v>11</v>
      </c>
    </row>
    <row r="223" spans="1:16" x14ac:dyDescent="0.25">
      <c r="A223" s="27">
        <v>44778</v>
      </c>
      <c r="B223" s="23">
        <v>154</v>
      </c>
      <c r="C223" s="23">
        <v>140</v>
      </c>
      <c r="D223" s="23">
        <v>128</v>
      </c>
      <c r="E223" s="23">
        <v>12</v>
      </c>
      <c r="F223" s="23">
        <v>14</v>
      </c>
      <c r="G223" s="23">
        <v>0</v>
      </c>
      <c r="H223" s="23">
        <v>12</v>
      </c>
      <c r="I223" s="23">
        <v>14</v>
      </c>
      <c r="J223" s="23">
        <v>13</v>
      </c>
      <c r="K223" s="23">
        <v>18</v>
      </c>
      <c r="L223" s="23">
        <v>14</v>
      </c>
      <c r="M223" s="23">
        <v>16</v>
      </c>
      <c r="N223" s="23">
        <v>13</v>
      </c>
      <c r="O223" s="23">
        <v>18</v>
      </c>
      <c r="P223" s="28">
        <v>10</v>
      </c>
    </row>
    <row r="224" spans="1:16" x14ac:dyDescent="0.25">
      <c r="A224" s="27">
        <v>44779</v>
      </c>
      <c r="B224" s="23">
        <v>5</v>
      </c>
      <c r="C224" s="23">
        <v>4</v>
      </c>
      <c r="D224" s="23">
        <v>4</v>
      </c>
      <c r="E224" s="23">
        <v>0</v>
      </c>
      <c r="F224" s="23">
        <v>0</v>
      </c>
      <c r="G224" s="23">
        <v>1</v>
      </c>
      <c r="H224" s="23">
        <v>0</v>
      </c>
      <c r="I224" s="23">
        <v>0</v>
      </c>
      <c r="J224" s="23">
        <v>2</v>
      </c>
      <c r="K224" s="23">
        <v>1</v>
      </c>
      <c r="L224" s="23">
        <v>1</v>
      </c>
      <c r="M224" s="23">
        <v>0</v>
      </c>
      <c r="N224" s="23">
        <v>0</v>
      </c>
      <c r="O224" s="23">
        <v>0</v>
      </c>
      <c r="P224" s="28">
        <v>0</v>
      </c>
    </row>
    <row r="225" spans="1:16" x14ac:dyDescent="0.25">
      <c r="A225" s="27">
        <v>44780</v>
      </c>
      <c r="B225" s="23">
        <v>1</v>
      </c>
      <c r="C225" s="23">
        <v>1</v>
      </c>
      <c r="D225" s="23">
        <v>1</v>
      </c>
      <c r="E225" s="23">
        <v>0</v>
      </c>
      <c r="F225" s="23">
        <v>0</v>
      </c>
      <c r="G225" s="23">
        <v>0</v>
      </c>
      <c r="H225" s="23">
        <v>0</v>
      </c>
      <c r="I225" s="23">
        <v>0</v>
      </c>
      <c r="J225" s="23">
        <v>0</v>
      </c>
      <c r="K225" s="23">
        <v>0</v>
      </c>
      <c r="L225" s="23">
        <v>0</v>
      </c>
      <c r="M225" s="23">
        <v>0</v>
      </c>
      <c r="N225" s="23">
        <v>1</v>
      </c>
      <c r="O225" s="23">
        <v>0</v>
      </c>
      <c r="P225" s="28">
        <v>0</v>
      </c>
    </row>
    <row r="226" spans="1:16" x14ac:dyDescent="0.25">
      <c r="A226" s="27">
        <v>44781</v>
      </c>
      <c r="B226" s="23">
        <v>151</v>
      </c>
      <c r="C226" s="23">
        <v>137</v>
      </c>
      <c r="D226" s="23">
        <v>136</v>
      </c>
      <c r="E226" s="23">
        <v>1</v>
      </c>
      <c r="F226" s="23">
        <v>12</v>
      </c>
      <c r="G226" s="23">
        <v>2</v>
      </c>
      <c r="H226" s="23">
        <v>8</v>
      </c>
      <c r="I226" s="23">
        <v>20</v>
      </c>
      <c r="J226" s="23">
        <v>11</v>
      </c>
      <c r="K226" s="23">
        <v>6</v>
      </c>
      <c r="L226" s="23">
        <v>15</v>
      </c>
      <c r="M226" s="23">
        <v>18</v>
      </c>
      <c r="N226" s="23">
        <v>17</v>
      </c>
      <c r="O226" s="23">
        <v>27</v>
      </c>
      <c r="P226" s="28">
        <v>14</v>
      </c>
    </row>
    <row r="227" spans="1:16" x14ac:dyDescent="0.25">
      <c r="A227" s="27">
        <v>44782</v>
      </c>
      <c r="B227" s="23">
        <v>122</v>
      </c>
      <c r="C227" s="23">
        <v>103</v>
      </c>
      <c r="D227" s="23">
        <v>100</v>
      </c>
      <c r="E227" s="23">
        <v>3</v>
      </c>
      <c r="F227" s="23">
        <v>18</v>
      </c>
      <c r="G227" s="23">
        <v>1</v>
      </c>
      <c r="H227" s="23">
        <v>8</v>
      </c>
      <c r="I227" s="23">
        <v>10</v>
      </c>
      <c r="J227" s="23">
        <v>11</v>
      </c>
      <c r="K227" s="23">
        <v>7</v>
      </c>
      <c r="L227" s="23">
        <v>16</v>
      </c>
      <c r="M227" s="23">
        <v>10</v>
      </c>
      <c r="N227" s="23">
        <v>12</v>
      </c>
      <c r="O227" s="23">
        <v>16</v>
      </c>
      <c r="P227" s="28">
        <v>10</v>
      </c>
    </row>
    <row r="228" spans="1:16" x14ac:dyDescent="0.25">
      <c r="A228" s="27">
        <v>44783</v>
      </c>
      <c r="B228" s="23">
        <v>131</v>
      </c>
      <c r="C228" s="23">
        <v>113</v>
      </c>
      <c r="D228" s="23">
        <v>99</v>
      </c>
      <c r="E228" s="23">
        <v>13</v>
      </c>
      <c r="F228" s="23">
        <v>16</v>
      </c>
      <c r="G228" s="23">
        <v>2</v>
      </c>
      <c r="H228" s="23">
        <v>3</v>
      </c>
      <c r="I228" s="23">
        <v>11</v>
      </c>
      <c r="J228" s="23">
        <v>10</v>
      </c>
      <c r="K228" s="23">
        <v>9</v>
      </c>
      <c r="L228" s="23">
        <v>9</v>
      </c>
      <c r="M228" s="23">
        <v>15</v>
      </c>
      <c r="N228" s="23">
        <v>9</v>
      </c>
      <c r="O228" s="23">
        <v>19</v>
      </c>
      <c r="P228" s="28">
        <v>14</v>
      </c>
    </row>
    <row r="229" spans="1:16" x14ac:dyDescent="0.25">
      <c r="A229" s="27">
        <v>44784</v>
      </c>
      <c r="B229" s="23">
        <v>150</v>
      </c>
      <c r="C229" s="23">
        <v>127</v>
      </c>
      <c r="D229" s="23">
        <v>119</v>
      </c>
      <c r="E229" s="23">
        <v>8</v>
      </c>
      <c r="F229" s="23">
        <v>15</v>
      </c>
      <c r="G229" s="23">
        <v>8</v>
      </c>
      <c r="H229" s="23">
        <v>5</v>
      </c>
      <c r="I229" s="23">
        <v>20</v>
      </c>
      <c r="J229" s="23">
        <v>10</v>
      </c>
      <c r="K229" s="23">
        <v>19</v>
      </c>
      <c r="L229" s="23">
        <v>10</v>
      </c>
      <c r="M229" s="23">
        <v>11</v>
      </c>
      <c r="N229" s="23">
        <v>11</v>
      </c>
      <c r="O229" s="23">
        <v>25</v>
      </c>
      <c r="P229" s="28">
        <v>8</v>
      </c>
    </row>
    <row r="230" spans="1:16" x14ac:dyDescent="0.25">
      <c r="A230" s="27">
        <v>44785</v>
      </c>
      <c r="B230" s="23">
        <v>118</v>
      </c>
      <c r="C230" s="23">
        <v>107</v>
      </c>
      <c r="D230" s="23">
        <v>102</v>
      </c>
      <c r="E230" s="23">
        <v>5</v>
      </c>
      <c r="F230" s="23">
        <v>9</v>
      </c>
      <c r="G230" s="23">
        <v>2</v>
      </c>
      <c r="H230" s="23">
        <v>4</v>
      </c>
      <c r="I230" s="23">
        <v>17</v>
      </c>
      <c r="J230" s="23">
        <v>12</v>
      </c>
      <c r="K230" s="23">
        <v>5</v>
      </c>
      <c r="L230" s="23">
        <v>7</v>
      </c>
      <c r="M230" s="23">
        <v>9</v>
      </c>
      <c r="N230" s="23">
        <v>15</v>
      </c>
      <c r="O230" s="23">
        <v>21</v>
      </c>
      <c r="P230" s="28">
        <v>12</v>
      </c>
    </row>
    <row r="231" spans="1:16" x14ac:dyDescent="0.25">
      <c r="A231" s="27">
        <v>44786</v>
      </c>
      <c r="B231" s="23">
        <v>5</v>
      </c>
      <c r="C231" s="23">
        <v>5</v>
      </c>
      <c r="D231" s="23">
        <v>5</v>
      </c>
      <c r="E231" s="23">
        <v>0</v>
      </c>
      <c r="F231" s="23">
        <v>0</v>
      </c>
      <c r="G231" s="23">
        <v>0</v>
      </c>
      <c r="H231" s="23">
        <v>0</v>
      </c>
      <c r="I231" s="23">
        <v>0</v>
      </c>
      <c r="J231" s="23">
        <v>1</v>
      </c>
      <c r="K231" s="23">
        <v>1</v>
      </c>
      <c r="L231" s="23">
        <v>0</v>
      </c>
      <c r="M231" s="23">
        <v>2</v>
      </c>
      <c r="N231" s="23">
        <v>1</v>
      </c>
      <c r="O231" s="23">
        <v>0</v>
      </c>
      <c r="P231" s="28">
        <v>0</v>
      </c>
    </row>
    <row r="232" spans="1:16" x14ac:dyDescent="0.25">
      <c r="A232" s="27">
        <v>44787</v>
      </c>
      <c r="B232" s="23">
        <v>0</v>
      </c>
      <c r="C232" s="23">
        <v>0</v>
      </c>
      <c r="D232" s="23">
        <v>0</v>
      </c>
      <c r="E232" s="23">
        <v>0</v>
      </c>
      <c r="F232" s="23">
        <v>0</v>
      </c>
      <c r="G232" s="23">
        <v>0</v>
      </c>
      <c r="H232" s="23">
        <v>0</v>
      </c>
      <c r="I232" s="23">
        <v>0</v>
      </c>
      <c r="J232" s="23">
        <v>0</v>
      </c>
      <c r="K232" s="23">
        <v>0</v>
      </c>
      <c r="L232" s="23">
        <v>0</v>
      </c>
      <c r="M232" s="23">
        <v>0</v>
      </c>
      <c r="N232" s="23">
        <v>0</v>
      </c>
      <c r="O232" s="23">
        <v>0</v>
      </c>
      <c r="P232" s="28">
        <v>0</v>
      </c>
    </row>
    <row r="233" spans="1:16" x14ac:dyDescent="0.25">
      <c r="A233" s="27">
        <v>44788</v>
      </c>
      <c r="B233" s="23">
        <v>115</v>
      </c>
      <c r="C233" s="23">
        <v>101</v>
      </c>
      <c r="D233" s="23">
        <v>98</v>
      </c>
      <c r="E233" s="23">
        <v>3</v>
      </c>
      <c r="F233" s="23">
        <v>13</v>
      </c>
      <c r="G233" s="23">
        <v>1</v>
      </c>
      <c r="H233" s="23">
        <v>8</v>
      </c>
      <c r="I233" s="23">
        <v>13</v>
      </c>
      <c r="J233" s="23">
        <v>19</v>
      </c>
      <c r="K233" s="23">
        <v>8</v>
      </c>
      <c r="L233" s="23">
        <v>6</v>
      </c>
      <c r="M233" s="23">
        <v>12</v>
      </c>
      <c r="N233" s="23">
        <v>14</v>
      </c>
      <c r="O233" s="23">
        <v>13</v>
      </c>
      <c r="P233" s="28">
        <v>5</v>
      </c>
    </row>
    <row r="234" spans="1:16" x14ac:dyDescent="0.25">
      <c r="A234" s="27">
        <v>44789</v>
      </c>
      <c r="B234" s="23">
        <v>138</v>
      </c>
      <c r="C234" s="23">
        <v>119</v>
      </c>
      <c r="D234" s="23">
        <v>115</v>
      </c>
      <c r="E234" s="23">
        <v>4</v>
      </c>
      <c r="F234" s="23">
        <v>16</v>
      </c>
      <c r="G234" s="23">
        <v>3</v>
      </c>
      <c r="H234" s="23">
        <v>5</v>
      </c>
      <c r="I234" s="23">
        <v>18</v>
      </c>
      <c r="J234" s="23">
        <v>17</v>
      </c>
      <c r="K234" s="23">
        <v>9</v>
      </c>
      <c r="L234" s="23">
        <v>10</v>
      </c>
      <c r="M234" s="23">
        <v>12</v>
      </c>
      <c r="N234" s="23">
        <v>16</v>
      </c>
      <c r="O234" s="23">
        <v>17</v>
      </c>
      <c r="P234" s="28">
        <v>11</v>
      </c>
    </row>
    <row r="235" spans="1:16" x14ac:dyDescent="0.25">
      <c r="A235" s="27">
        <v>44790</v>
      </c>
      <c r="B235" s="23">
        <v>132</v>
      </c>
      <c r="C235" s="23">
        <v>120</v>
      </c>
      <c r="D235" s="23">
        <v>106</v>
      </c>
      <c r="E235" s="23">
        <v>14</v>
      </c>
      <c r="F235" s="23">
        <v>10</v>
      </c>
      <c r="G235" s="23">
        <v>2</v>
      </c>
      <c r="H235" s="23">
        <v>1</v>
      </c>
      <c r="I235" s="23">
        <v>17</v>
      </c>
      <c r="J235" s="23">
        <v>13</v>
      </c>
      <c r="K235" s="23">
        <v>12</v>
      </c>
      <c r="L235" s="23">
        <v>18</v>
      </c>
      <c r="M235" s="23">
        <v>11</v>
      </c>
      <c r="N235" s="23">
        <v>10</v>
      </c>
      <c r="O235" s="23">
        <v>12</v>
      </c>
      <c r="P235" s="28">
        <v>12</v>
      </c>
    </row>
    <row r="236" spans="1:16" x14ac:dyDescent="0.25">
      <c r="A236" s="27">
        <v>44791</v>
      </c>
      <c r="B236" s="23">
        <v>122</v>
      </c>
      <c r="C236" s="23">
        <v>104</v>
      </c>
      <c r="D236" s="23">
        <v>100</v>
      </c>
      <c r="E236" s="23">
        <v>3</v>
      </c>
      <c r="F236" s="23">
        <v>13</v>
      </c>
      <c r="G236" s="23">
        <v>5</v>
      </c>
      <c r="H236" s="23">
        <v>9</v>
      </c>
      <c r="I236" s="23">
        <v>16</v>
      </c>
      <c r="J236" s="23">
        <v>12</v>
      </c>
      <c r="K236" s="23">
        <v>7</v>
      </c>
      <c r="L236" s="23">
        <v>11</v>
      </c>
      <c r="M236" s="23">
        <v>9</v>
      </c>
      <c r="N236" s="23">
        <v>12</v>
      </c>
      <c r="O236" s="23">
        <v>15</v>
      </c>
      <c r="P236" s="28">
        <v>9</v>
      </c>
    </row>
    <row r="237" spans="1:16" x14ac:dyDescent="0.25">
      <c r="A237" s="27">
        <v>44792</v>
      </c>
      <c r="B237" s="23">
        <v>113</v>
      </c>
      <c r="C237" s="23">
        <v>102</v>
      </c>
      <c r="D237" s="23">
        <v>96</v>
      </c>
      <c r="E237" s="23">
        <v>5</v>
      </c>
      <c r="F237" s="23">
        <v>9</v>
      </c>
      <c r="G237" s="23">
        <v>2</v>
      </c>
      <c r="H237" s="23">
        <v>6</v>
      </c>
      <c r="I237" s="23">
        <v>12</v>
      </c>
      <c r="J237" s="23">
        <v>10</v>
      </c>
      <c r="K237" s="23">
        <v>10</v>
      </c>
      <c r="L237" s="23">
        <v>11</v>
      </c>
      <c r="M237" s="23">
        <v>10</v>
      </c>
      <c r="N237" s="23">
        <v>13</v>
      </c>
      <c r="O237" s="23">
        <v>15</v>
      </c>
      <c r="P237" s="28">
        <v>9</v>
      </c>
    </row>
    <row r="238" spans="1:16" x14ac:dyDescent="0.25">
      <c r="A238" s="27">
        <v>44793</v>
      </c>
      <c r="B238" s="23">
        <v>9</v>
      </c>
      <c r="C238" s="23">
        <v>9</v>
      </c>
      <c r="D238" s="23">
        <v>9</v>
      </c>
      <c r="E238" s="23">
        <v>0</v>
      </c>
      <c r="F238" s="23">
        <v>0</v>
      </c>
      <c r="G238" s="23">
        <v>0</v>
      </c>
      <c r="H238" s="23">
        <v>0</v>
      </c>
      <c r="I238" s="23">
        <v>1</v>
      </c>
      <c r="J238" s="23">
        <v>0</v>
      </c>
      <c r="K238" s="23">
        <v>0</v>
      </c>
      <c r="L238" s="23">
        <v>1</v>
      </c>
      <c r="M238" s="23">
        <v>2</v>
      </c>
      <c r="N238" s="23">
        <v>5</v>
      </c>
      <c r="O238" s="23">
        <v>0</v>
      </c>
      <c r="P238" s="28">
        <v>0</v>
      </c>
    </row>
    <row r="239" spans="1:16" x14ac:dyDescent="0.25">
      <c r="A239" s="27">
        <v>44794</v>
      </c>
      <c r="B239" s="23">
        <v>0</v>
      </c>
      <c r="C239" s="23">
        <v>0</v>
      </c>
      <c r="D239" s="23">
        <v>0</v>
      </c>
      <c r="E239" s="23">
        <v>0</v>
      </c>
      <c r="F239" s="23">
        <v>0</v>
      </c>
      <c r="G239" s="23">
        <v>0</v>
      </c>
      <c r="H239" s="23">
        <v>0</v>
      </c>
      <c r="I239" s="23">
        <v>0</v>
      </c>
      <c r="J239" s="23">
        <v>0</v>
      </c>
      <c r="K239" s="23">
        <v>0</v>
      </c>
      <c r="L239" s="23">
        <v>0</v>
      </c>
      <c r="M239" s="23">
        <v>0</v>
      </c>
      <c r="N239" s="23">
        <v>0</v>
      </c>
      <c r="O239" s="23">
        <v>0</v>
      </c>
      <c r="P239" s="28">
        <v>0</v>
      </c>
    </row>
    <row r="240" spans="1:16" x14ac:dyDescent="0.25">
      <c r="A240" s="27">
        <v>44795</v>
      </c>
      <c r="B240" s="23">
        <v>104</v>
      </c>
      <c r="C240" s="23">
        <v>95</v>
      </c>
      <c r="D240" s="23">
        <v>90</v>
      </c>
      <c r="E240" s="23">
        <v>5</v>
      </c>
      <c r="F240" s="23">
        <v>9</v>
      </c>
      <c r="G240" s="23">
        <v>0</v>
      </c>
      <c r="H240" s="23">
        <v>9</v>
      </c>
      <c r="I240" s="23">
        <v>16</v>
      </c>
      <c r="J240" s="23">
        <v>8</v>
      </c>
      <c r="K240" s="23">
        <v>9</v>
      </c>
      <c r="L240" s="23">
        <v>12</v>
      </c>
      <c r="M240" s="23">
        <v>8</v>
      </c>
      <c r="N240" s="23">
        <v>12</v>
      </c>
      <c r="O240" s="23">
        <v>10</v>
      </c>
      <c r="P240" s="28">
        <v>6</v>
      </c>
    </row>
    <row r="241" spans="1:16" x14ac:dyDescent="0.25">
      <c r="A241" s="27">
        <v>44796</v>
      </c>
      <c r="B241" s="23">
        <v>92</v>
      </c>
      <c r="C241" s="23">
        <v>82</v>
      </c>
      <c r="D241" s="23">
        <v>77</v>
      </c>
      <c r="E241" s="23">
        <v>5</v>
      </c>
      <c r="F241" s="23">
        <v>7</v>
      </c>
      <c r="G241" s="23">
        <v>3</v>
      </c>
      <c r="H241" s="23">
        <v>7</v>
      </c>
      <c r="I241" s="23">
        <v>8</v>
      </c>
      <c r="J241" s="23">
        <v>4</v>
      </c>
      <c r="K241" s="23">
        <v>6</v>
      </c>
      <c r="L241" s="23">
        <v>9</v>
      </c>
      <c r="M241" s="23">
        <v>9</v>
      </c>
      <c r="N241" s="23">
        <v>8</v>
      </c>
      <c r="O241" s="23">
        <v>22</v>
      </c>
      <c r="P241" s="28">
        <v>4</v>
      </c>
    </row>
    <row r="242" spans="1:16" x14ac:dyDescent="0.25">
      <c r="A242" s="27">
        <v>44797</v>
      </c>
      <c r="B242" s="23">
        <v>101</v>
      </c>
      <c r="C242" s="23">
        <v>88</v>
      </c>
      <c r="D242" s="23">
        <v>82</v>
      </c>
      <c r="E242" s="23">
        <v>6</v>
      </c>
      <c r="F242" s="23">
        <v>9</v>
      </c>
      <c r="G242" s="23">
        <v>4</v>
      </c>
      <c r="H242" s="23">
        <v>2</v>
      </c>
      <c r="I242" s="23">
        <v>11</v>
      </c>
      <c r="J242" s="23">
        <v>7</v>
      </c>
      <c r="K242" s="23">
        <v>10</v>
      </c>
      <c r="L242" s="23">
        <v>14</v>
      </c>
      <c r="M242" s="23">
        <v>5</v>
      </c>
      <c r="N242" s="23">
        <v>13</v>
      </c>
      <c r="O242" s="23">
        <v>15</v>
      </c>
      <c r="P242" s="28">
        <v>5</v>
      </c>
    </row>
    <row r="243" spans="1:16" x14ac:dyDescent="0.25">
      <c r="A243" s="27">
        <v>44798</v>
      </c>
      <c r="B243" s="23">
        <v>97</v>
      </c>
      <c r="C243" s="23">
        <v>87</v>
      </c>
      <c r="D243" s="23">
        <v>80</v>
      </c>
      <c r="E243" s="23">
        <v>6</v>
      </c>
      <c r="F243" s="23">
        <v>8</v>
      </c>
      <c r="G243" s="23">
        <v>2</v>
      </c>
      <c r="H243" s="23">
        <v>3</v>
      </c>
      <c r="I243" s="23">
        <v>12</v>
      </c>
      <c r="J243" s="23">
        <v>9</v>
      </c>
      <c r="K243" s="23">
        <v>9</v>
      </c>
      <c r="L243" s="23">
        <v>10</v>
      </c>
      <c r="M243" s="23">
        <v>7</v>
      </c>
      <c r="N243" s="23">
        <v>10</v>
      </c>
      <c r="O243" s="23">
        <v>9</v>
      </c>
      <c r="P243" s="28">
        <v>11</v>
      </c>
    </row>
    <row r="244" spans="1:16" x14ac:dyDescent="0.25">
      <c r="A244" s="27">
        <v>44799</v>
      </c>
      <c r="B244" s="23">
        <v>100</v>
      </c>
      <c r="C244" s="23">
        <v>92</v>
      </c>
      <c r="D244" s="23">
        <v>81</v>
      </c>
      <c r="E244" s="23">
        <v>10</v>
      </c>
      <c r="F244" s="23">
        <v>6</v>
      </c>
      <c r="G244" s="23">
        <v>2</v>
      </c>
      <c r="H244" s="23">
        <v>7</v>
      </c>
      <c r="I244" s="23">
        <v>12</v>
      </c>
      <c r="J244" s="23">
        <v>9</v>
      </c>
      <c r="K244" s="23">
        <v>9</v>
      </c>
      <c r="L244" s="23">
        <v>8</v>
      </c>
      <c r="M244" s="23">
        <v>13</v>
      </c>
      <c r="N244" s="23">
        <v>6</v>
      </c>
      <c r="O244" s="23">
        <v>9</v>
      </c>
      <c r="P244" s="28">
        <v>8</v>
      </c>
    </row>
    <row r="245" spans="1:16" x14ac:dyDescent="0.25">
      <c r="A245" s="27">
        <v>44800</v>
      </c>
      <c r="B245" s="23">
        <v>3</v>
      </c>
      <c r="C245" s="23">
        <v>3</v>
      </c>
      <c r="D245" s="23">
        <v>3</v>
      </c>
      <c r="E245" s="23">
        <v>0</v>
      </c>
      <c r="F245" s="23">
        <v>0</v>
      </c>
      <c r="G245" s="23">
        <v>0</v>
      </c>
      <c r="H245" s="23">
        <v>0</v>
      </c>
      <c r="I245" s="23">
        <v>1</v>
      </c>
      <c r="J245" s="23">
        <v>0</v>
      </c>
      <c r="K245" s="23">
        <v>1</v>
      </c>
      <c r="L245" s="23">
        <v>0</v>
      </c>
      <c r="M245" s="23">
        <v>0</v>
      </c>
      <c r="N245" s="23">
        <v>1</v>
      </c>
      <c r="O245" s="23">
        <v>0</v>
      </c>
      <c r="P245" s="28">
        <v>0</v>
      </c>
    </row>
    <row r="246" spans="1:16" x14ac:dyDescent="0.25">
      <c r="A246" s="27">
        <v>44801</v>
      </c>
      <c r="B246" s="23">
        <v>2</v>
      </c>
      <c r="C246" s="23">
        <v>1</v>
      </c>
      <c r="D246" s="23">
        <v>1</v>
      </c>
      <c r="E246" s="23">
        <v>0</v>
      </c>
      <c r="F246" s="23">
        <v>1</v>
      </c>
      <c r="G246" s="23">
        <v>0</v>
      </c>
      <c r="H246" s="23">
        <v>0</v>
      </c>
      <c r="I246" s="23">
        <v>0</v>
      </c>
      <c r="J246" s="23">
        <v>0</v>
      </c>
      <c r="K246" s="23">
        <v>0</v>
      </c>
      <c r="L246" s="23">
        <v>0</v>
      </c>
      <c r="M246" s="23">
        <v>1</v>
      </c>
      <c r="N246" s="23">
        <v>0</v>
      </c>
      <c r="O246" s="23">
        <v>0</v>
      </c>
      <c r="P246" s="28">
        <v>0</v>
      </c>
    </row>
    <row r="247" spans="1:16" x14ac:dyDescent="0.25">
      <c r="A247" s="27">
        <v>44802</v>
      </c>
      <c r="B247" s="23">
        <v>2</v>
      </c>
      <c r="C247" s="23">
        <v>0</v>
      </c>
      <c r="D247" s="23">
        <v>0</v>
      </c>
      <c r="E247" s="23">
        <v>0</v>
      </c>
      <c r="F247" s="23">
        <v>2</v>
      </c>
      <c r="G247" s="23">
        <v>0</v>
      </c>
      <c r="H247" s="23">
        <v>0</v>
      </c>
      <c r="I247" s="23">
        <v>0</v>
      </c>
      <c r="J247" s="23">
        <v>0</v>
      </c>
      <c r="K247" s="23">
        <v>0</v>
      </c>
      <c r="L247" s="23">
        <v>0</v>
      </c>
      <c r="M247" s="23">
        <v>0</v>
      </c>
      <c r="N247" s="23">
        <v>0</v>
      </c>
      <c r="O247" s="23">
        <v>0</v>
      </c>
      <c r="P247" s="28">
        <v>0</v>
      </c>
    </row>
    <row r="248" spans="1:16" x14ac:dyDescent="0.25">
      <c r="A248" s="27">
        <v>44803</v>
      </c>
      <c r="B248" s="23">
        <v>101</v>
      </c>
      <c r="C248" s="23">
        <v>88</v>
      </c>
      <c r="D248" s="23">
        <v>82</v>
      </c>
      <c r="E248" s="23">
        <v>6</v>
      </c>
      <c r="F248" s="23">
        <v>10</v>
      </c>
      <c r="G248" s="23">
        <v>3</v>
      </c>
      <c r="H248" s="23">
        <v>3</v>
      </c>
      <c r="I248" s="23">
        <v>8</v>
      </c>
      <c r="J248" s="23">
        <v>9</v>
      </c>
      <c r="K248" s="23">
        <v>7</v>
      </c>
      <c r="L248" s="23">
        <v>17</v>
      </c>
      <c r="M248" s="23">
        <v>7</v>
      </c>
      <c r="N248" s="23">
        <v>10</v>
      </c>
      <c r="O248" s="23">
        <v>16</v>
      </c>
      <c r="P248" s="28">
        <v>5</v>
      </c>
    </row>
    <row r="249" spans="1:16" x14ac:dyDescent="0.25">
      <c r="A249" s="27">
        <v>44804</v>
      </c>
      <c r="B249" s="23">
        <v>85</v>
      </c>
      <c r="C249" s="23">
        <v>80</v>
      </c>
      <c r="D249" s="23">
        <v>75</v>
      </c>
      <c r="E249" s="23">
        <v>5</v>
      </c>
      <c r="F249" s="23">
        <v>5</v>
      </c>
      <c r="G249" s="23">
        <v>0</v>
      </c>
      <c r="H249" s="23">
        <v>5</v>
      </c>
      <c r="I249" s="23">
        <v>15</v>
      </c>
      <c r="J249" s="23">
        <v>4</v>
      </c>
      <c r="K249" s="23">
        <v>13</v>
      </c>
      <c r="L249" s="23">
        <v>11</v>
      </c>
      <c r="M249" s="23">
        <v>5</v>
      </c>
      <c r="N249" s="23">
        <v>9</v>
      </c>
      <c r="O249" s="23">
        <v>8</v>
      </c>
      <c r="P249" s="28">
        <v>5</v>
      </c>
    </row>
    <row r="250" spans="1:16" x14ac:dyDescent="0.25">
      <c r="A250" s="27">
        <v>44805</v>
      </c>
      <c r="B250" s="23">
        <v>77</v>
      </c>
      <c r="C250" s="23">
        <v>72</v>
      </c>
      <c r="D250" s="23">
        <v>69</v>
      </c>
      <c r="E250" s="23">
        <v>3</v>
      </c>
      <c r="F250" s="23">
        <v>5</v>
      </c>
      <c r="G250" s="23">
        <v>0</v>
      </c>
      <c r="H250" s="23">
        <v>5</v>
      </c>
      <c r="I250" s="23">
        <v>9</v>
      </c>
      <c r="J250" s="23">
        <v>7</v>
      </c>
      <c r="K250" s="23">
        <v>11</v>
      </c>
      <c r="L250" s="23">
        <v>5</v>
      </c>
      <c r="M250" s="23">
        <v>7</v>
      </c>
      <c r="N250" s="23">
        <v>3</v>
      </c>
      <c r="O250" s="23">
        <v>13</v>
      </c>
      <c r="P250" s="28">
        <v>9</v>
      </c>
    </row>
    <row r="251" spans="1:16" x14ac:dyDescent="0.25">
      <c r="A251" s="27">
        <v>44806</v>
      </c>
      <c r="B251" s="23">
        <v>82</v>
      </c>
      <c r="C251" s="23">
        <v>70</v>
      </c>
      <c r="D251" s="23">
        <v>67</v>
      </c>
      <c r="E251" s="23">
        <v>3</v>
      </c>
      <c r="F251" s="23">
        <v>9</v>
      </c>
      <c r="G251" s="23">
        <v>3</v>
      </c>
      <c r="H251" s="23">
        <v>2</v>
      </c>
      <c r="I251" s="23">
        <v>7</v>
      </c>
      <c r="J251" s="23">
        <v>10</v>
      </c>
      <c r="K251" s="23">
        <v>7</v>
      </c>
      <c r="L251" s="23">
        <v>5</v>
      </c>
      <c r="M251" s="23">
        <v>10</v>
      </c>
      <c r="N251" s="23">
        <v>11</v>
      </c>
      <c r="O251" s="23">
        <v>9</v>
      </c>
      <c r="P251" s="28">
        <v>6</v>
      </c>
    </row>
    <row r="252" spans="1:16" x14ac:dyDescent="0.25">
      <c r="A252" s="27">
        <v>44807</v>
      </c>
      <c r="B252" s="23">
        <v>5</v>
      </c>
      <c r="C252" s="23">
        <v>5</v>
      </c>
      <c r="D252" s="23">
        <v>3</v>
      </c>
      <c r="E252" s="23">
        <v>2</v>
      </c>
      <c r="F252" s="23">
        <v>0</v>
      </c>
      <c r="G252" s="23">
        <v>0</v>
      </c>
      <c r="H252" s="23">
        <v>0</v>
      </c>
      <c r="I252" s="23">
        <v>0</v>
      </c>
      <c r="J252" s="23">
        <v>0</v>
      </c>
      <c r="K252" s="23">
        <v>0</v>
      </c>
      <c r="L252" s="23">
        <v>1</v>
      </c>
      <c r="M252" s="23">
        <v>1</v>
      </c>
      <c r="N252" s="23">
        <v>1</v>
      </c>
      <c r="O252" s="23">
        <v>0</v>
      </c>
      <c r="P252" s="28">
        <v>0</v>
      </c>
    </row>
    <row r="253" spans="1:16" x14ac:dyDescent="0.25">
      <c r="A253" s="27">
        <v>44808</v>
      </c>
      <c r="B253" s="23">
        <v>0</v>
      </c>
      <c r="C253" s="23">
        <v>0</v>
      </c>
      <c r="D253" s="23">
        <v>0</v>
      </c>
      <c r="E253" s="23">
        <v>0</v>
      </c>
      <c r="F253" s="23">
        <v>0</v>
      </c>
      <c r="G253" s="23">
        <v>0</v>
      </c>
      <c r="H253" s="23">
        <v>0</v>
      </c>
      <c r="I253" s="23">
        <v>0</v>
      </c>
      <c r="J253" s="23">
        <v>0</v>
      </c>
      <c r="K253" s="23">
        <v>0</v>
      </c>
      <c r="L253" s="23">
        <v>0</v>
      </c>
      <c r="M253" s="23">
        <v>0</v>
      </c>
      <c r="N253" s="23">
        <v>0</v>
      </c>
      <c r="O253" s="23">
        <v>0</v>
      </c>
      <c r="P253" s="28">
        <v>0</v>
      </c>
    </row>
    <row r="254" spans="1:16" x14ac:dyDescent="0.25">
      <c r="A254" s="27">
        <v>44809</v>
      </c>
      <c r="B254" s="23">
        <v>85</v>
      </c>
      <c r="C254" s="23">
        <v>74</v>
      </c>
      <c r="D254" s="23">
        <v>70</v>
      </c>
      <c r="E254" s="23">
        <v>4</v>
      </c>
      <c r="F254" s="23">
        <v>10</v>
      </c>
      <c r="G254" s="23">
        <v>1</v>
      </c>
      <c r="H254" s="23">
        <v>4</v>
      </c>
      <c r="I254" s="23">
        <v>5</v>
      </c>
      <c r="J254" s="23">
        <v>5</v>
      </c>
      <c r="K254" s="23">
        <v>11</v>
      </c>
      <c r="L254" s="23">
        <v>9</v>
      </c>
      <c r="M254" s="23">
        <v>5</v>
      </c>
      <c r="N254" s="23">
        <v>10</v>
      </c>
      <c r="O254" s="23">
        <v>11</v>
      </c>
      <c r="P254" s="28">
        <v>10</v>
      </c>
    </row>
    <row r="255" spans="1:16" x14ac:dyDescent="0.25">
      <c r="A255" s="27">
        <v>44810</v>
      </c>
      <c r="B255" s="23">
        <v>94</v>
      </c>
      <c r="C255" s="23">
        <v>83</v>
      </c>
      <c r="D255" s="23">
        <v>76</v>
      </c>
      <c r="E255" s="23">
        <v>6</v>
      </c>
      <c r="F255" s="23">
        <v>11</v>
      </c>
      <c r="G255" s="23">
        <v>0</v>
      </c>
      <c r="H255" s="23">
        <v>4</v>
      </c>
      <c r="I255" s="23">
        <v>12</v>
      </c>
      <c r="J255" s="23">
        <v>7</v>
      </c>
      <c r="K255" s="23">
        <v>9</v>
      </c>
      <c r="L255" s="23">
        <v>9</v>
      </c>
      <c r="M255" s="23">
        <v>12</v>
      </c>
      <c r="N255" s="23">
        <v>5</v>
      </c>
      <c r="O255" s="23">
        <v>12</v>
      </c>
      <c r="P255" s="28">
        <v>6</v>
      </c>
    </row>
    <row r="256" spans="1:16" x14ac:dyDescent="0.25">
      <c r="A256" s="27">
        <v>44811</v>
      </c>
      <c r="B256" s="23">
        <v>75</v>
      </c>
      <c r="C256" s="23">
        <v>64</v>
      </c>
      <c r="D256" s="23">
        <v>61</v>
      </c>
      <c r="E256" s="23">
        <v>3</v>
      </c>
      <c r="F256" s="23">
        <v>8</v>
      </c>
      <c r="G256" s="23">
        <v>3</v>
      </c>
      <c r="H256" s="23">
        <v>1</v>
      </c>
      <c r="I256" s="23">
        <v>6</v>
      </c>
      <c r="J256" s="23">
        <v>5</v>
      </c>
      <c r="K256" s="23">
        <v>9</v>
      </c>
      <c r="L256" s="23">
        <v>11</v>
      </c>
      <c r="M256" s="23">
        <v>10</v>
      </c>
      <c r="N256" s="23">
        <v>3</v>
      </c>
      <c r="O256" s="23">
        <v>11</v>
      </c>
      <c r="P256" s="28">
        <v>5</v>
      </c>
    </row>
    <row r="257" spans="1:16" x14ac:dyDescent="0.25">
      <c r="A257" s="27">
        <v>44812</v>
      </c>
      <c r="B257" s="23">
        <v>83</v>
      </c>
      <c r="C257" s="23">
        <v>73</v>
      </c>
      <c r="D257" s="23">
        <v>69</v>
      </c>
      <c r="E257" s="23">
        <v>3</v>
      </c>
      <c r="F257" s="23">
        <v>9</v>
      </c>
      <c r="G257" s="23">
        <v>1</v>
      </c>
      <c r="H257" s="23">
        <v>2</v>
      </c>
      <c r="I257" s="23">
        <v>12</v>
      </c>
      <c r="J257" s="23">
        <v>6</v>
      </c>
      <c r="K257" s="23">
        <v>4</v>
      </c>
      <c r="L257" s="23">
        <v>7</v>
      </c>
      <c r="M257" s="23">
        <v>10</v>
      </c>
      <c r="N257" s="23">
        <v>10</v>
      </c>
      <c r="O257" s="23">
        <v>11</v>
      </c>
      <c r="P257" s="28">
        <v>7</v>
      </c>
    </row>
    <row r="258" spans="1:16" x14ac:dyDescent="0.25">
      <c r="A258" s="27">
        <v>44813</v>
      </c>
      <c r="B258" s="23">
        <v>74</v>
      </c>
      <c r="C258" s="23">
        <v>66</v>
      </c>
      <c r="D258" s="23">
        <v>60</v>
      </c>
      <c r="E258" s="23">
        <v>6</v>
      </c>
      <c r="F258" s="23">
        <v>4</v>
      </c>
      <c r="G258" s="23">
        <v>4</v>
      </c>
      <c r="H258" s="23">
        <v>1</v>
      </c>
      <c r="I258" s="23">
        <v>9</v>
      </c>
      <c r="J258" s="23">
        <v>3</v>
      </c>
      <c r="K258" s="23">
        <v>8</v>
      </c>
      <c r="L258" s="23">
        <v>12</v>
      </c>
      <c r="M258" s="23">
        <v>4</v>
      </c>
      <c r="N258" s="23">
        <v>5</v>
      </c>
      <c r="O258" s="23">
        <v>9</v>
      </c>
      <c r="P258" s="28">
        <v>9</v>
      </c>
    </row>
    <row r="259" spans="1:16" x14ac:dyDescent="0.25">
      <c r="A259" s="27">
        <v>44814</v>
      </c>
      <c r="B259" s="23">
        <v>3</v>
      </c>
      <c r="C259" s="23">
        <v>3</v>
      </c>
      <c r="D259" s="23">
        <v>2</v>
      </c>
      <c r="E259" s="23">
        <v>1</v>
      </c>
      <c r="F259" s="23">
        <v>0</v>
      </c>
      <c r="G259" s="23">
        <v>0</v>
      </c>
      <c r="H259" s="23">
        <v>0</v>
      </c>
      <c r="I259" s="23">
        <v>0</v>
      </c>
      <c r="J259" s="23">
        <v>0</v>
      </c>
      <c r="K259" s="23">
        <v>2</v>
      </c>
      <c r="L259" s="23">
        <v>0</v>
      </c>
      <c r="M259" s="23">
        <v>0</v>
      </c>
      <c r="N259" s="23">
        <v>0</v>
      </c>
      <c r="O259" s="23">
        <v>0</v>
      </c>
      <c r="P259" s="28">
        <v>0</v>
      </c>
    </row>
    <row r="260" spans="1:16" x14ac:dyDescent="0.25">
      <c r="A260" s="27">
        <v>44815</v>
      </c>
      <c r="B260" s="23">
        <v>1</v>
      </c>
      <c r="C260" s="23">
        <v>1</v>
      </c>
      <c r="D260" s="23">
        <v>1</v>
      </c>
      <c r="E260" s="23">
        <v>0</v>
      </c>
      <c r="F260" s="23">
        <v>0</v>
      </c>
      <c r="G260" s="23">
        <v>0</v>
      </c>
      <c r="H260" s="23">
        <v>0</v>
      </c>
      <c r="I260" s="23">
        <v>0</v>
      </c>
      <c r="J260" s="23">
        <v>0</v>
      </c>
      <c r="K260" s="23">
        <v>0</v>
      </c>
      <c r="L260" s="23">
        <v>0</v>
      </c>
      <c r="M260" s="23">
        <v>1</v>
      </c>
      <c r="N260" s="23">
        <v>0</v>
      </c>
      <c r="O260" s="23">
        <v>0</v>
      </c>
      <c r="P260" s="28">
        <v>0</v>
      </c>
    </row>
    <row r="261" spans="1:16" x14ac:dyDescent="0.25">
      <c r="A261" s="27">
        <v>44816</v>
      </c>
      <c r="B261" s="23">
        <v>85</v>
      </c>
      <c r="C261" s="23">
        <v>81</v>
      </c>
      <c r="D261" s="23">
        <v>75</v>
      </c>
      <c r="E261" s="23">
        <v>6</v>
      </c>
      <c r="F261" s="23">
        <v>4</v>
      </c>
      <c r="G261" s="23">
        <v>0</v>
      </c>
      <c r="H261" s="23">
        <v>4</v>
      </c>
      <c r="I261" s="23">
        <v>5</v>
      </c>
      <c r="J261" s="23">
        <v>12</v>
      </c>
      <c r="K261" s="23">
        <v>5</v>
      </c>
      <c r="L261" s="23">
        <v>8</v>
      </c>
      <c r="M261" s="23">
        <v>14</v>
      </c>
      <c r="N261" s="23">
        <v>9</v>
      </c>
      <c r="O261" s="23">
        <v>15</v>
      </c>
      <c r="P261" s="28">
        <v>3</v>
      </c>
    </row>
    <row r="262" spans="1:16" x14ac:dyDescent="0.25">
      <c r="A262" s="27">
        <v>44817</v>
      </c>
      <c r="B262" s="23">
        <v>59</v>
      </c>
      <c r="C262" s="23">
        <v>48</v>
      </c>
      <c r="D262" s="23">
        <v>44</v>
      </c>
      <c r="E262" s="23">
        <v>4</v>
      </c>
      <c r="F262" s="23">
        <v>11</v>
      </c>
      <c r="G262" s="23">
        <v>0</v>
      </c>
      <c r="H262" s="23">
        <v>3</v>
      </c>
      <c r="I262" s="23">
        <v>6</v>
      </c>
      <c r="J262" s="23">
        <v>4</v>
      </c>
      <c r="K262" s="23">
        <v>4</v>
      </c>
      <c r="L262" s="23">
        <v>4</v>
      </c>
      <c r="M262" s="23">
        <v>6</v>
      </c>
      <c r="N262" s="23">
        <v>3</v>
      </c>
      <c r="O262" s="23">
        <v>11</v>
      </c>
      <c r="P262" s="28">
        <v>3</v>
      </c>
    </row>
    <row r="263" spans="1:16" x14ac:dyDescent="0.25">
      <c r="A263" s="27">
        <v>44818</v>
      </c>
      <c r="B263" s="23">
        <v>79</v>
      </c>
      <c r="C263" s="23">
        <v>67</v>
      </c>
      <c r="D263" s="23">
        <v>62</v>
      </c>
      <c r="E263" s="23">
        <v>5</v>
      </c>
      <c r="F263" s="23">
        <v>9</v>
      </c>
      <c r="G263" s="23">
        <v>3</v>
      </c>
      <c r="H263" s="23">
        <v>0</v>
      </c>
      <c r="I263" s="23">
        <v>9</v>
      </c>
      <c r="J263" s="23">
        <v>6</v>
      </c>
      <c r="K263" s="23">
        <v>8</v>
      </c>
      <c r="L263" s="23">
        <v>8</v>
      </c>
      <c r="M263" s="23">
        <v>6</v>
      </c>
      <c r="N263" s="23">
        <v>8</v>
      </c>
      <c r="O263" s="23">
        <v>12</v>
      </c>
      <c r="P263" s="28">
        <v>5</v>
      </c>
    </row>
    <row r="264" spans="1:16" x14ac:dyDescent="0.25">
      <c r="A264" s="27">
        <v>44819</v>
      </c>
      <c r="B264" s="23">
        <v>53</v>
      </c>
      <c r="C264" s="23">
        <v>43</v>
      </c>
      <c r="D264" s="23">
        <v>41</v>
      </c>
      <c r="E264" s="23">
        <v>1</v>
      </c>
      <c r="F264" s="23">
        <v>9</v>
      </c>
      <c r="G264" s="23">
        <v>1</v>
      </c>
      <c r="H264" s="23">
        <v>2</v>
      </c>
      <c r="I264" s="23">
        <v>5</v>
      </c>
      <c r="J264" s="23">
        <v>10</v>
      </c>
      <c r="K264" s="23">
        <v>7</v>
      </c>
      <c r="L264" s="23">
        <v>2</v>
      </c>
      <c r="M264" s="23">
        <v>6</v>
      </c>
      <c r="N264" s="23">
        <v>3</v>
      </c>
      <c r="O264" s="23">
        <v>4</v>
      </c>
      <c r="P264" s="28">
        <v>2</v>
      </c>
    </row>
    <row r="265" spans="1:16" x14ac:dyDescent="0.25">
      <c r="A265" s="27">
        <v>44820</v>
      </c>
      <c r="B265" s="23">
        <v>68</v>
      </c>
      <c r="C265" s="23">
        <v>58</v>
      </c>
      <c r="D265" s="23">
        <v>55</v>
      </c>
      <c r="E265" s="23">
        <v>3</v>
      </c>
      <c r="F265" s="23">
        <v>8</v>
      </c>
      <c r="G265" s="23">
        <v>2</v>
      </c>
      <c r="H265" s="23">
        <v>4</v>
      </c>
      <c r="I265" s="23">
        <v>9</v>
      </c>
      <c r="J265" s="23">
        <v>12</v>
      </c>
      <c r="K265" s="23">
        <v>5</v>
      </c>
      <c r="L265" s="23">
        <v>6</v>
      </c>
      <c r="M265" s="23">
        <v>2</v>
      </c>
      <c r="N265" s="23">
        <v>7</v>
      </c>
      <c r="O265" s="23">
        <v>8</v>
      </c>
      <c r="P265" s="28">
        <v>2</v>
      </c>
    </row>
    <row r="266" spans="1:16" x14ac:dyDescent="0.25">
      <c r="A266" s="27">
        <v>44821</v>
      </c>
      <c r="B266" s="23">
        <v>0</v>
      </c>
      <c r="C266" s="23">
        <v>0</v>
      </c>
      <c r="D266" s="23">
        <v>0</v>
      </c>
      <c r="E266" s="23">
        <v>0</v>
      </c>
      <c r="F266" s="23">
        <v>0</v>
      </c>
      <c r="G266" s="23">
        <v>0</v>
      </c>
      <c r="H266" s="23">
        <v>0</v>
      </c>
      <c r="I266" s="23">
        <v>0</v>
      </c>
      <c r="J266" s="23">
        <v>0</v>
      </c>
      <c r="K266" s="23">
        <v>0</v>
      </c>
      <c r="L266" s="23">
        <v>0</v>
      </c>
      <c r="M266" s="23">
        <v>0</v>
      </c>
      <c r="N266" s="23">
        <v>0</v>
      </c>
      <c r="O266" s="23">
        <v>0</v>
      </c>
      <c r="P266" s="28">
        <v>0</v>
      </c>
    </row>
    <row r="267" spans="1:16" x14ac:dyDescent="0.25">
      <c r="A267" s="27">
        <v>44822</v>
      </c>
      <c r="B267" s="23">
        <v>0</v>
      </c>
      <c r="C267" s="23">
        <v>0</v>
      </c>
      <c r="D267" s="23">
        <v>0</v>
      </c>
      <c r="E267" s="23">
        <v>0</v>
      </c>
      <c r="F267" s="23">
        <v>0</v>
      </c>
      <c r="G267" s="23">
        <v>0</v>
      </c>
      <c r="H267" s="23">
        <v>0</v>
      </c>
      <c r="I267" s="23">
        <v>0</v>
      </c>
      <c r="J267" s="23">
        <v>0</v>
      </c>
      <c r="K267" s="23">
        <v>0</v>
      </c>
      <c r="L267" s="23">
        <v>0</v>
      </c>
      <c r="M267" s="23">
        <v>0</v>
      </c>
      <c r="N267" s="23">
        <v>0</v>
      </c>
      <c r="O267" s="23">
        <v>0</v>
      </c>
      <c r="P267" s="28">
        <v>0</v>
      </c>
    </row>
    <row r="268" spans="1:16" x14ac:dyDescent="0.25">
      <c r="A268" s="27">
        <v>44823</v>
      </c>
      <c r="B268" s="23">
        <v>3</v>
      </c>
      <c r="C268" s="23">
        <v>1</v>
      </c>
      <c r="D268" s="23">
        <v>1</v>
      </c>
      <c r="E268" s="23">
        <v>0</v>
      </c>
      <c r="F268" s="23">
        <v>2</v>
      </c>
      <c r="G268" s="23">
        <v>0</v>
      </c>
      <c r="H268" s="23">
        <v>0</v>
      </c>
      <c r="I268" s="23">
        <v>0</v>
      </c>
      <c r="J268" s="23">
        <v>0</v>
      </c>
      <c r="K268" s="23">
        <v>0</v>
      </c>
      <c r="L268" s="23">
        <v>1</v>
      </c>
      <c r="M268" s="23">
        <v>0</v>
      </c>
      <c r="N268" s="23">
        <v>0</v>
      </c>
      <c r="O268" s="23">
        <v>0</v>
      </c>
      <c r="P268" s="28">
        <v>0</v>
      </c>
    </row>
    <row r="269" spans="1:16" x14ac:dyDescent="0.25">
      <c r="A269" s="27">
        <v>44824</v>
      </c>
      <c r="B269" s="23">
        <v>68</v>
      </c>
      <c r="C269" s="23">
        <v>58</v>
      </c>
      <c r="D269" s="23">
        <v>54</v>
      </c>
      <c r="E269" s="23">
        <v>4</v>
      </c>
      <c r="F269" s="23">
        <v>7</v>
      </c>
      <c r="G269" s="23">
        <v>3</v>
      </c>
      <c r="H269" s="23">
        <v>1</v>
      </c>
      <c r="I269" s="23">
        <v>4</v>
      </c>
      <c r="J269" s="23">
        <v>6</v>
      </c>
      <c r="K269" s="23">
        <v>6</v>
      </c>
      <c r="L269" s="23">
        <v>9</v>
      </c>
      <c r="M269" s="23">
        <v>10</v>
      </c>
      <c r="N269" s="23">
        <v>4</v>
      </c>
      <c r="O269" s="23">
        <v>11</v>
      </c>
      <c r="P269" s="28">
        <v>3</v>
      </c>
    </row>
    <row r="270" spans="1:16" x14ac:dyDescent="0.25">
      <c r="A270" s="27">
        <v>44825</v>
      </c>
      <c r="B270" s="23">
        <v>69</v>
      </c>
      <c r="C270" s="23">
        <v>61</v>
      </c>
      <c r="D270" s="23">
        <v>55</v>
      </c>
      <c r="E270" s="23">
        <v>5</v>
      </c>
      <c r="F270" s="23">
        <v>8</v>
      </c>
      <c r="G270" s="23">
        <v>0</v>
      </c>
      <c r="H270" s="23">
        <v>3</v>
      </c>
      <c r="I270" s="23">
        <v>9</v>
      </c>
      <c r="J270" s="23">
        <v>5</v>
      </c>
      <c r="K270" s="23">
        <v>9</v>
      </c>
      <c r="L270" s="23">
        <v>6</v>
      </c>
      <c r="M270" s="23">
        <v>3</v>
      </c>
      <c r="N270" s="23">
        <v>6</v>
      </c>
      <c r="O270" s="23">
        <v>7</v>
      </c>
      <c r="P270" s="28">
        <v>7</v>
      </c>
    </row>
    <row r="271" spans="1:16" x14ac:dyDescent="0.25">
      <c r="A271" s="27">
        <v>44826</v>
      </c>
      <c r="B271" s="23">
        <v>77</v>
      </c>
      <c r="C271" s="23">
        <v>64</v>
      </c>
      <c r="D271" s="23">
        <v>59</v>
      </c>
      <c r="E271" s="23">
        <v>5</v>
      </c>
      <c r="F271" s="23">
        <v>12</v>
      </c>
      <c r="G271" s="23">
        <v>1</v>
      </c>
      <c r="H271" s="23">
        <v>2</v>
      </c>
      <c r="I271" s="23">
        <v>6</v>
      </c>
      <c r="J271" s="23">
        <v>9</v>
      </c>
      <c r="K271" s="23">
        <v>0</v>
      </c>
      <c r="L271" s="23">
        <v>10</v>
      </c>
      <c r="M271" s="23">
        <v>4</v>
      </c>
      <c r="N271" s="23">
        <v>8</v>
      </c>
      <c r="O271" s="23">
        <v>11</v>
      </c>
      <c r="P271" s="28">
        <v>9</v>
      </c>
    </row>
    <row r="272" spans="1:16" x14ac:dyDescent="0.25">
      <c r="A272" s="27">
        <v>44827</v>
      </c>
      <c r="B272" s="23">
        <v>59</v>
      </c>
      <c r="C272" s="23">
        <v>51</v>
      </c>
      <c r="D272" s="23">
        <v>48</v>
      </c>
      <c r="E272" s="23">
        <v>3</v>
      </c>
      <c r="F272" s="23">
        <v>6</v>
      </c>
      <c r="G272" s="23">
        <v>2</v>
      </c>
      <c r="H272" s="23">
        <v>4</v>
      </c>
      <c r="I272" s="23">
        <v>5</v>
      </c>
      <c r="J272" s="23">
        <v>1</v>
      </c>
      <c r="K272" s="23">
        <v>3</v>
      </c>
      <c r="L272" s="23">
        <v>11</v>
      </c>
      <c r="M272" s="23">
        <v>6</v>
      </c>
      <c r="N272" s="23">
        <v>6</v>
      </c>
      <c r="O272" s="23">
        <v>6</v>
      </c>
      <c r="P272" s="28">
        <v>6</v>
      </c>
    </row>
    <row r="273" spans="1:16" x14ac:dyDescent="0.25">
      <c r="A273" s="27">
        <v>44828</v>
      </c>
      <c r="B273" s="23">
        <v>1</v>
      </c>
      <c r="C273" s="23">
        <v>1</v>
      </c>
      <c r="D273" s="23">
        <v>1</v>
      </c>
      <c r="E273" s="23">
        <v>0</v>
      </c>
      <c r="F273" s="23">
        <v>0</v>
      </c>
      <c r="G273" s="23">
        <v>0</v>
      </c>
      <c r="H273" s="23">
        <v>0</v>
      </c>
      <c r="I273" s="23">
        <v>0</v>
      </c>
      <c r="J273" s="23">
        <v>0</v>
      </c>
      <c r="K273" s="23">
        <v>1</v>
      </c>
      <c r="L273" s="23">
        <v>0</v>
      </c>
      <c r="M273" s="23">
        <v>0</v>
      </c>
      <c r="N273" s="23">
        <v>0</v>
      </c>
      <c r="O273" s="23">
        <v>0</v>
      </c>
      <c r="P273" s="28">
        <v>0</v>
      </c>
    </row>
    <row r="274" spans="1:16" x14ac:dyDescent="0.25">
      <c r="A274" s="27">
        <v>44829</v>
      </c>
      <c r="B274" s="23">
        <v>0</v>
      </c>
      <c r="C274" s="23">
        <v>0</v>
      </c>
      <c r="D274" s="23">
        <v>0</v>
      </c>
      <c r="E274" s="23">
        <v>0</v>
      </c>
      <c r="F274" s="23">
        <v>0</v>
      </c>
      <c r="G274" s="23">
        <v>0</v>
      </c>
      <c r="H274" s="23">
        <v>0</v>
      </c>
      <c r="I274" s="23">
        <v>0</v>
      </c>
      <c r="J274" s="23">
        <v>0</v>
      </c>
      <c r="K274" s="23">
        <v>0</v>
      </c>
      <c r="L274" s="23">
        <v>0</v>
      </c>
      <c r="M274" s="23">
        <v>0</v>
      </c>
      <c r="N274" s="23">
        <v>0</v>
      </c>
      <c r="O274" s="23">
        <v>0</v>
      </c>
      <c r="P274" s="28">
        <v>0</v>
      </c>
    </row>
    <row r="275" spans="1:16" x14ac:dyDescent="0.25">
      <c r="A275" s="27">
        <v>44830</v>
      </c>
      <c r="B275" s="23">
        <v>57</v>
      </c>
      <c r="C275" s="23">
        <v>52</v>
      </c>
      <c r="D275" s="23">
        <v>51</v>
      </c>
      <c r="E275" s="23">
        <v>1</v>
      </c>
      <c r="F275" s="23">
        <v>5</v>
      </c>
      <c r="G275" s="23">
        <v>0</v>
      </c>
      <c r="H275" s="23">
        <v>1</v>
      </c>
      <c r="I275" s="23">
        <v>8</v>
      </c>
      <c r="J275" s="23">
        <v>8</v>
      </c>
      <c r="K275" s="23">
        <v>9</v>
      </c>
      <c r="L275" s="23">
        <v>4</v>
      </c>
      <c r="M275" s="23">
        <v>4</v>
      </c>
      <c r="N275" s="23">
        <v>5</v>
      </c>
      <c r="O275" s="23">
        <v>6</v>
      </c>
      <c r="P275" s="28">
        <v>6</v>
      </c>
    </row>
    <row r="276" spans="1:16" x14ac:dyDescent="0.25">
      <c r="A276" s="27">
        <v>44831</v>
      </c>
      <c r="B276" s="23">
        <v>67</v>
      </c>
      <c r="C276" s="23">
        <v>57</v>
      </c>
      <c r="D276" s="23">
        <v>54</v>
      </c>
      <c r="E276" s="23">
        <v>3</v>
      </c>
      <c r="F276" s="23">
        <v>9</v>
      </c>
      <c r="G276" s="23">
        <v>1</v>
      </c>
      <c r="H276" s="23">
        <v>3</v>
      </c>
      <c r="I276" s="23">
        <v>7</v>
      </c>
      <c r="J276" s="23">
        <v>5</v>
      </c>
      <c r="K276" s="23">
        <v>4</v>
      </c>
      <c r="L276" s="23">
        <v>8</v>
      </c>
      <c r="M276" s="23">
        <v>6</v>
      </c>
      <c r="N276" s="23">
        <v>5</v>
      </c>
      <c r="O276" s="23">
        <v>10</v>
      </c>
      <c r="P276" s="28">
        <v>6</v>
      </c>
    </row>
    <row r="277" spans="1:16" x14ac:dyDescent="0.25">
      <c r="A277" s="27">
        <v>44832</v>
      </c>
      <c r="B277" s="23">
        <v>68</v>
      </c>
      <c r="C277" s="23">
        <v>58</v>
      </c>
      <c r="D277" s="23">
        <v>55</v>
      </c>
      <c r="E277" s="23">
        <v>3</v>
      </c>
      <c r="F277" s="23">
        <v>8</v>
      </c>
      <c r="G277" s="23">
        <v>2</v>
      </c>
      <c r="H277" s="23">
        <v>4</v>
      </c>
      <c r="I277" s="23">
        <v>14</v>
      </c>
      <c r="J277" s="23">
        <v>7</v>
      </c>
      <c r="K277" s="23">
        <v>5</v>
      </c>
      <c r="L277" s="23">
        <v>6</v>
      </c>
      <c r="M277" s="23">
        <v>2</v>
      </c>
      <c r="N277" s="23">
        <v>6</v>
      </c>
      <c r="O277" s="23">
        <v>5</v>
      </c>
      <c r="P277" s="28">
        <v>6</v>
      </c>
    </row>
    <row r="278" spans="1:16" x14ac:dyDescent="0.25">
      <c r="A278" s="27">
        <v>44833</v>
      </c>
      <c r="B278" s="23">
        <v>71</v>
      </c>
      <c r="C278" s="23">
        <v>58</v>
      </c>
      <c r="D278" s="23">
        <v>54</v>
      </c>
      <c r="E278" s="23">
        <v>4</v>
      </c>
      <c r="F278" s="23">
        <v>10</v>
      </c>
      <c r="G278" s="23">
        <v>3</v>
      </c>
      <c r="H278" s="23">
        <v>0</v>
      </c>
      <c r="I278" s="23">
        <v>10</v>
      </c>
      <c r="J278" s="23">
        <v>6</v>
      </c>
      <c r="K278" s="23">
        <v>6</v>
      </c>
      <c r="L278" s="23">
        <v>7</v>
      </c>
      <c r="M278" s="23">
        <v>5</v>
      </c>
      <c r="N278" s="23">
        <v>4</v>
      </c>
      <c r="O278" s="23">
        <v>11</v>
      </c>
      <c r="P278" s="28">
        <v>5</v>
      </c>
    </row>
    <row r="279" spans="1:16" x14ac:dyDescent="0.25">
      <c r="A279" s="27">
        <v>44834</v>
      </c>
      <c r="B279" s="23">
        <v>79</v>
      </c>
      <c r="C279" s="23">
        <v>61</v>
      </c>
      <c r="D279" s="23">
        <v>59</v>
      </c>
      <c r="E279" s="23">
        <v>2</v>
      </c>
      <c r="F279" s="23">
        <v>13</v>
      </c>
      <c r="G279" s="23">
        <v>5</v>
      </c>
      <c r="H279" s="23">
        <v>3</v>
      </c>
      <c r="I279" s="23">
        <v>10</v>
      </c>
      <c r="J279" s="23">
        <v>9</v>
      </c>
      <c r="K279" s="23">
        <v>3</v>
      </c>
      <c r="L279" s="23">
        <v>3</v>
      </c>
      <c r="M279" s="23">
        <v>5</v>
      </c>
      <c r="N279" s="23">
        <v>5</v>
      </c>
      <c r="O279" s="23">
        <v>13</v>
      </c>
      <c r="P279" s="28">
        <v>8</v>
      </c>
    </row>
    <row r="280" spans="1:16" x14ac:dyDescent="0.25">
      <c r="A280" s="27">
        <v>44835</v>
      </c>
      <c r="B280" s="23">
        <v>4</v>
      </c>
      <c r="C280" s="23">
        <v>4</v>
      </c>
      <c r="D280" s="23">
        <v>4</v>
      </c>
      <c r="E280" s="23">
        <v>0</v>
      </c>
      <c r="F280" s="23">
        <v>0</v>
      </c>
      <c r="G280" s="23">
        <v>0</v>
      </c>
      <c r="H280" s="23">
        <v>1</v>
      </c>
      <c r="I280" s="23">
        <v>0</v>
      </c>
      <c r="J280" s="23">
        <v>1</v>
      </c>
      <c r="K280" s="23">
        <v>0</v>
      </c>
      <c r="L280" s="23">
        <v>1</v>
      </c>
      <c r="M280" s="23">
        <v>1</v>
      </c>
      <c r="N280" s="23">
        <v>0</v>
      </c>
      <c r="O280" s="23">
        <v>0</v>
      </c>
      <c r="P280" s="28">
        <v>0</v>
      </c>
    </row>
    <row r="281" spans="1:16" x14ac:dyDescent="0.25">
      <c r="A281" s="27">
        <v>44836</v>
      </c>
      <c r="B281" s="23">
        <v>0</v>
      </c>
      <c r="C281" s="23">
        <v>0</v>
      </c>
      <c r="D281" s="23">
        <v>0</v>
      </c>
      <c r="E281" s="23">
        <v>0</v>
      </c>
      <c r="F281" s="23">
        <v>0</v>
      </c>
      <c r="G281" s="23">
        <v>0</v>
      </c>
      <c r="H281" s="23">
        <v>0</v>
      </c>
      <c r="I281" s="23">
        <v>0</v>
      </c>
      <c r="J281" s="23">
        <v>0</v>
      </c>
      <c r="K281" s="23">
        <v>0</v>
      </c>
      <c r="L281" s="23">
        <v>0</v>
      </c>
      <c r="M281" s="23">
        <v>0</v>
      </c>
      <c r="N281" s="23">
        <v>0</v>
      </c>
      <c r="O281" s="23">
        <v>0</v>
      </c>
      <c r="P281" s="28">
        <v>0</v>
      </c>
    </row>
    <row r="282" spans="1:16" x14ac:dyDescent="0.25">
      <c r="A282" s="27">
        <v>44837</v>
      </c>
      <c r="B282" s="23">
        <v>97</v>
      </c>
      <c r="C282" s="23">
        <v>84</v>
      </c>
      <c r="D282" s="23">
        <v>78</v>
      </c>
      <c r="E282" s="23">
        <v>6</v>
      </c>
      <c r="F282" s="23">
        <v>7</v>
      </c>
      <c r="G282" s="23">
        <v>6</v>
      </c>
      <c r="H282" s="23">
        <v>3</v>
      </c>
      <c r="I282" s="23">
        <v>9</v>
      </c>
      <c r="J282" s="23">
        <v>12</v>
      </c>
      <c r="K282" s="23">
        <v>7</v>
      </c>
      <c r="L282" s="23">
        <v>12</v>
      </c>
      <c r="M282" s="23">
        <v>10</v>
      </c>
      <c r="N282" s="23">
        <v>11</v>
      </c>
      <c r="O282" s="23">
        <v>8</v>
      </c>
      <c r="P282" s="28">
        <v>6</v>
      </c>
    </row>
    <row r="283" spans="1:16" x14ac:dyDescent="0.25">
      <c r="A283" s="27">
        <v>44838</v>
      </c>
      <c r="B283" s="23">
        <v>79</v>
      </c>
      <c r="C283" s="23">
        <v>69</v>
      </c>
      <c r="D283" s="23">
        <v>62</v>
      </c>
      <c r="E283" s="23">
        <v>7</v>
      </c>
      <c r="F283" s="23">
        <v>8</v>
      </c>
      <c r="G283" s="23">
        <v>2</v>
      </c>
      <c r="H283" s="23">
        <v>1</v>
      </c>
      <c r="I283" s="23">
        <v>5</v>
      </c>
      <c r="J283" s="23">
        <v>12</v>
      </c>
      <c r="K283" s="23">
        <v>11</v>
      </c>
      <c r="L283" s="23">
        <v>6</v>
      </c>
      <c r="M283" s="23">
        <v>5</v>
      </c>
      <c r="N283" s="23">
        <v>4</v>
      </c>
      <c r="O283" s="23">
        <v>11</v>
      </c>
      <c r="P283" s="28">
        <v>7</v>
      </c>
    </row>
    <row r="284" spans="1:16" x14ac:dyDescent="0.25">
      <c r="A284" s="27">
        <v>44839</v>
      </c>
      <c r="B284" s="23">
        <v>82</v>
      </c>
      <c r="C284" s="23">
        <v>74</v>
      </c>
      <c r="D284" s="23">
        <v>72</v>
      </c>
      <c r="E284" s="23">
        <v>2</v>
      </c>
      <c r="F284" s="23">
        <v>5</v>
      </c>
      <c r="G284" s="23">
        <v>3</v>
      </c>
      <c r="H284" s="23">
        <v>6</v>
      </c>
      <c r="I284" s="23">
        <v>10</v>
      </c>
      <c r="J284" s="23">
        <v>7</v>
      </c>
      <c r="K284" s="23">
        <v>5</v>
      </c>
      <c r="L284" s="23">
        <v>8</v>
      </c>
      <c r="M284" s="23">
        <v>10</v>
      </c>
      <c r="N284" s="23">
        <v>6</v>
      </c>
      <c r="O284" s="23">
        <v>12</v>
      </c>
      <c r="P284" s="28">
        <v>8</v>
      </c>
    </row>
    <row r="285" spans="1:16" x14ac:dyDescent="0.25">
      <c r="A285" s="27">
        <v>44840</v>
      </c>
      <c r="B285" s="23">
        <v>99</v>
      </c>
      <c r="C285" s="23">
        <v>88</v>
      </c>
      <c r="D285" s="23">
        <v>82</v>
      </c>
      <c r="E285" s="23">
        <v>6</v>
      </c>
      <c r="F285" s="23">
        <v>10</v>
      </c>
      <c r="G285" s="23">
        <v>1</v>
      </c>
      <c r="H285" s="23">
        <v>5</v>
      </c>
      <c r="I285" s="23">
        <v>15</v>
      </c>
      <c r="J285" s="23">
        <v>12</v>
      </c>
      <c r="K285" s="23">
        <v>7</v>
      </c>
      <c r="L285" s="23">
        <v>13</v>
      </c>
      <c r="M285" s="23">
        <v>5</v>
      </c>
      <c r="N285" s="23">
        <v>9</v>
      </c>
      <c r="O285" s="23">
        <v>11</v>
      </c>
      <c r="P285" s="28">
        <v>5</v>
      </c>
    </row>
    <row r="286" spans="1:16" x14ac:dyDescent="0.25">
      <c r="A286" s="27">
        <v>44841</v>
      </c>
      <c r="B286" s="23">
        <v>88</v>
      </c>
      <c r="C286" s="23">
        <v>81</v>
      </c>
      <c r="D286" s="23">
        <v>74</v>
      </c>
      <c r="E286" s="23">
        <v>7</v>
      </c>
      <c r="F286" s="23">
        <v>6</v>
      </c>
      <c r="G286" s="23">
        <v>1</v>
      </c>
      <c r="H286" s="23">
        <v>5</v>
      </c>
      <c r="I286" s="23">
        <v>13</v>
      </c>
      <c r="J286" s="23">
        <v>10</v>
      </c>
      <c r="K286" s="23">
        <v>8</v>
      </c>
      <c r="L286" s="23">
        <v>6</v>
      </c>
      <c r="M286" s="23">
        <v>10</v>
      </c>
      <c r="N286" s="23">
        <v>5</v>
      </c>
      <c r="O286" s="23">
        <v>9</v>
      </c>
      <c r="P286" s="28">
        <v>8</v>
      </c>
    </row>
    <row r="287" spans="1:16" x14ac:dyDescent="0.25">
      <c r="A287" s="27">
        <v>44842</v>
      </c>
      <c r="B287" s="23">
        <v>4</v>
      </c>
      <c r="C287" s="23">
        <v>3</v>
      </c>
      <c r="D287" s="23">
        <v>2</v>
      </c>
      <c r="E287" s="23">
        <v>1</v>
      </c>
      <c r="F287" s="23">
        <v>1</v>
      </c>
      <c r="G287" s="23">
        <v>0</v>
      </c>
      <c r="H287" s="23">
        <v>0</v>
      </c>
      <c r="I287" s="23">
        <v>0</v>
      </c>
      <c r="J287" s="23">
        <v>1</v>
      </c>
      <c r="K287" s="23">
        <v>0</v>
      </c>
      <c r="L287" s="23">
        <v>0</v>
      </c>
      <c r="M287" s="23">
        <v>0</v>
      </c>
      <c r="N287" s="23">
        <v>1</v>
      </c>
      <c r="O287" s="23">
        <v>0</v>
      </c>
      <c r="P287" s="28">
        <v>0</v>
      </c>
    </row>
    <row r="288" spans="1:16" x14ac:dyDescent="0.25">
      <c r="A288" s="27">
        <v>44843</v>
      </c>
      <c r="B288" s="23">
        <v>0</v>
      </c>
      <c r="C288" s="23">
        <v>0</v>
      </c>
      <c r="D288" s="23">
        <v>0</v>
      </c>
      <c r="E288" s="23">
        <v>0</v>
      </c>
      <c r="F288" s="23">
        <v>0</v>
      </c>
      <c r="G288" s="23">
        <v>0</v>
      </c>
      <c r="H288" s="23">
        <v>0</v>
      </c>
      <c r="I288" s="23">
        <v>0</v>
      </c>
      <c r="J288" s="23">
        <v>0</v>
      </c>
      <c r="K288" s="23">
        <v>0</v>
      </c>
      <c r="L288" s="23">
        <v>0</v>
      </c>
      <c r="M288" s="23">
        <v>0</v>
      </c>
      <c r="N288" s="23">
        <v>0</v>
      </c>
      <c r="O288" s="23">
        <v>0</v>
      </c>
      <c r="P288" s="28">
        <v>0</v>
      </c>
    </row>
    <row r="289" spans="1:16" x14ac:dyDescent="0.25">
      <c r="A289" s="27">
        <v>44844</v>
      </c>
      <c r="B289" s="23">
        <v>121</v>
      </c>
      <c r="C289" s="23">
        <v>108</v>
      </c>
      <c r="D289" s="23">
        <v>98</v>
      </c>
      <c r="E289" s="23">
        <v>10</v>
      </c>
      <c r="F289" s="23">
        <v>11</v>
      </c>
      <c r="G289" s="23">
        <v>2</v>
      </c>
      <c r="H289" s="23">
        <v>5</v>
      </c>
      <c r="I289" s="23">
        <v>16</v>
      </c>
      <c r="J289" s="23">
        <v>12</v>
      </c>
      <c r="K289" s="23">
        <v>7</v>
      </c>
      <c r="L289" s="23">
        <v>12</v>
      </c>
      <c r="M289" s="23">
        <v>16</v>
      </c>
      <c r="N289" s="23">
        <v>6</v>
      </c>
      <c r="O289" s="23">
        <v>15</v>
      </c>
      <c r="P289" s="28">
        <v>9</v>
      </c>
    </row>
    <row r="290" spans="1:16" x14ac:dyDescent="0.25">
      <c r="A290" s="27">
        <v>44845</v>
      </c>
      <c r="B290" s="23">
        <v>113</v>
      </c>
      <c r="C290" s="23">
        <v>100</v>
      </c>
      <c r="D290" s="23">
        <v>95</v>
      </c>
      <c r="E290" s="23">
        <v>5</v>
      </c>
      <c r="F290" s="23">
        <v>13</v>
      </c>
      <c r="G290" s="23">
        <v>0</v>
      </c>
      <c r="H290" s="23">
        <v>6</v>
      </c>
      <c r="I290" s="23">
        <v>15</v>
      </c>
      <c r="J290" s="23">
        <v>12</v>
      </c>
      <c r="K290" s="23">
        <v>12</v>
      </c>
      <c r="L290" s="23">
        <v>13</v>
      </c>
      <c r="M290" s="23">
        <v>10</v>
      </c>
      <c r="N290" s="23">
        <v>4</v>
      </c>
      <c r="O290" s="23">
        <v>12</v>
      </c>
      <c r="P290" s="28">
        <v>11</v>
      </c>
    </row>
    <row r="291" spans="1:16" x14ac:dyDescent="0.25">
      <c r="A291" s="27">
        <v>44846</v>
      </c>
      <c r="B291" s="23">
        <v>124</v>
      </c>
      <c r="C291" s="23">
        <v>111</v>
      </c>
      <c r="D291" s="23">
        <v>106</v>
      </c>
      <c r="E291" s="23">
        <v>4</v>
      </c>
      <c r="F291" s="23">
        <v>10</v>
      </c>
      <c r="G291" s="23">
        <v>3</v>
      </c>
      <c r="H291" s="23">
        <v>4</v>
      </c>
      <c r="I291" s="23">
        <v>11</v>
      </c>
      <c r="J291" s="23">
        <v>14</v>
      </c>
      <c r="K291" s="23">
        <v>15</v>
      </c>
      <c r="L291" s="23">
        <v>11</v>
      </c>
      <c r="M291" s="23">
        <v>15</v>
      </c>
      <c r="N291" s="23">
        <v>7</v>
      </c>
      <c r="O291" s="23">
        <v>15</v>
      </c>
      <c r="P291" s="28">
        <v>14</v>
      </c>
    </row>
    <row r="292" spans="1:16" x14ac:dyDescent="0.25">
      <c r="A292" s="27">
        <v>44847</v>
      </c>
      <c r="B292" s="23">
        <v>130</v>
      </c>
      <c r="C292" s="23">
        <v>120</v>
      </c>
      <c r="D292" s="23">
        <v>109</v>
      </c>
      <c r="E292" s="23">
        <v>10</v>
      </c>
      <c r="F292" s="23">
        <v>9</v>
      </c>
      <c r="G292" s="23">
        <v>1</v>
      </c>
      <c r="H292" s="23">
        <v>9</v>
      </c>
      <c r="I292" s="23">
        <v>20</v>
      </c>
      <c r="J292" s="23">
        <v>17</v>
      </c>
      <c r="K292" s="23">
        <v>8</v>
      </c>
      <c r="L292" s="23">
        <v>11</v>
      </c>
      <c r="M292" s="23">
        <v>17</v>
      </c>
      <c r="N292" s="23">
        <v>6</v>
      </c>
      <c r="O292" s="23">
        <v>19</v>
      </c>
      <c r="P292" s="28">
        <v>2</v>
      </c>
    </row>
    <row r="293" spans="1:16" x14ac:dyDescent="0.25">
      <c r="A293" s="27">
        <v>44848</v>
      </c>
      <c r="B293" s="23">
        <v>134</v>
      </c>
      <c r="C293" s="23">
        <v>123</v>
      </c>
      <c r="D293" s="23">
        <v>113</v>
      </c>
      <c r="E293" s="23">
        <v>10</v>
      </c>
      <c r="F293" s="23">
        <v>9</v>
      </c>
      <c r="G293" s="23">
        <v>2</v>
      </c>
      <c r="H293" s="23">
        <v>8</v>
      </c>
      <c r="I293" s="23">
        <v>18</v>
      </c>
      <c r="J293" s="23">
        <v>20</v>
      </c>
      <c r="K293" s="23">
        <v>14</v>
      </c>
      <c r="L293" s="23">
        <v>10</v>
      </c>
      <c r="M293" s="23">
        <v>14</v>
      </c>
      <c r="N293" s="23">
        <v>7</v>
      </c>
      <c r="O293" s="23">
        <v>17</v>
      </c>
      <c r="P293" s="28">
        <v>5</v>
      </c>
    </row>
    <row r="294" spans="1:16" x14ac:dyDescent="0.25">
      <c r="A294" s="27">
        <v>44849</v>
      </c>
      <c r="B294" s="23">
        <v>12</v>
      </c>
      <c r="C294" s="23">
        <v>12</v>
      </c>
      <c r="D294" s="23">
        <v>11</v>
      </c>
      <c r="E294" s="23">
        <v>1</v>
      </c>
      <c r="F294" s="23">
        <v>0</v>
      </c>
      <c r="G294" s="23">
        <v>0</v>
      </c>
      <c r="H294" s="23">
        <v>0</v>
      </c>
      <c r="I294" s="23">
        <v>1</v>
      </c>
      <c r="J294" s="23">
        <v>2</v>
      </c>
      <c r="K294" s="23">
        <v>0</v>
      </c>
      <c r="L294" s="23">
        <v>1</v>
      </c>
      <c r="M294" s="23">
        <v>3</v>
      </c>
      <c r="N294" s="23">
        <v>4</v>
      </c>
      <c r="O294" s="23">
        <v>0</v>
      </c>
      <c r="P294" s="28">
        <v>0</v>
      </c>
    </row>
    <row r="295" spans="1:16" x14ac:dyDescent="0.25">
      <c r="A295" s="27">
        <v>44850</v>
      </c>
      <c r="B295" s="23">
        <v>0</v>
      </c>
      <c r="C295" s="23">
        <v>0</v>
      </c>
      <c r="D295" s="23">
        <v>0</v>
      </c>
      <c r="E295" s="23">
        <v>0</v>
      </c>
      <c r="F295" s="23">
        <v>0</v>
      </c>
      <c r="G295" s="23">
        <v>0</v>
      </c>
      <c r="H295" s="23">
        <v>0</v>
      </c>
      <c r="I295" s="23">
        <v>0</v>
      </c>
      <c r="J295" s="23">
        <v>0</v>
      </c>
      <c r="K295" s="23">
        <v>0</v>
      </c>
      <c r="L295" s="23">
        <v>0</v>
      </c>
      <c r="M295" s="23">
        <v>0</v>
      </c>
      <c r="N295" s="23">
        <v>0</v>
      </c>
      <c r="O295" s="23">
        <v>0</v>
      </c>
      <c r="P295" s="28">
        <v>0</v>
      </c>
    </row>
    <row r="296" spans="1:16" x14ac:dyDescent="0.25">
      <c r="A296" s="27">
        <v>44851</v>
      </c>
      <c r="B296" s="23">
        <v>140</v>
      </c>
      <c r="C296" s="23">
        <v>129</v>
      </c>
      <c r="D296" s="23">
        <v>120</v>
      </c>
      <c r="E296" s="23">
        <v>9</v>
      </c>
      <c r="F296" s="23">
        <v>8</v>
      </c>
      <c r="G296" s="23">
        <v>3</v>
      </c>
      <c r="H296" s="23">
        <v>3</v>
      </c>
      <c r="I296" s="23">
        <v>20</v>
      </c>
      <c r="J296" s="23">
        <v>12</v>
      </c>
      <c r="K296" s="23">
        <v>18</v>
      </c>
      <c r="L296" s="23">
        <v>12</v>
      </c>
      <c r="M296" s="23">
        <v>15</v>
      </c>
      <c r="N296" s="23">
        <v>11</v>
      </c>
      <c r="O296" s="23">
        <v>21</v>
      </c>
      <c r="P296" s="28">
        <v>8</v>
      </c>
    </row>
    <row r="297" spans="1:16" x14ac:dyDescent="0.25">
      <c r="A297" s="27">
        <v>44852</v>
      </c>
      <c r="B297" s="23">
        <v>131</v>
      </c>
      <c r="C297" s="23">
        <v>123</v>
      </c>
      <c r="D297" s="23">
        <v>115</v>
      </c>
      <c r="E297" s="23">
        <v>8</v>
      </c>
      <c r="F297" s="23">
        <v>7</v>
      </c>
      <c r="G297" s="23">
        <v>1</v>
      </c>
      <c r="H297" s="23">
        <v>4</v>
      </c>
      <c r="I297" s="23">
        <v>8</v>
      </c>
      <c r="J297" s="23">
        <v>12</v>
      </c>
      <c r="K297" s="23">
        <v>10</v>
      </c>
      <c r="L297" s="23">
        <v>16</v>
      </c>
      <c r="M297" s="23">
        <v>9</v>
      </c>
      <c r="N297" s="23">
        <v>16</v>
      </c>
      <c r="O297" s="23">
        <v>23</v>
      </c>
      <c r="P297" s="28">
        <v>17</v>
      </c>
    </row>
    <row r="298" spans="1:16" x14ac:dyDescent="0.25">
      <c r="A298" s="27">
        <v>44853</v>
      </c>
      <c r="B298" s="23">
        <v>162</v>
      </c>
      <c r="C298" s="23">
        <v>147</v>
      </c>
      <c r="D298" s="23">
        <v>140</v>
      </c>
      <c r="E298" s="23">
        <v>7</v>
      </c>
      <c r="F298" s="23">
        <v>11</v>
      </c>
      <c r="G298" s="23">
        <v>4</v>
      </c>
      <c r="H298" s="23">
        <v>9</v>
      </c>
      <c r="I298" s="23">
        <v>15</v>
      </c>
      <c r="J298" s="23">
        <v>22</v>
      </c>
      <c r="K298" s="23">
        <v>9</v>
      </c>
      <c r="L298" s="23">
        <v>20</v>
      </c>
      <c r="M298" s="23">
        <v>18</v>
      </c>
      <c r="N298" s="23">
        <v>12</v>
      </c>
      <c r="O298" s="23">
        <v>17</v>
      </c>
      <c r="P298" s="28">
        <v>18</v>
      </c>
    </row>
    <row r="299" spans="1:16" x14ac:dyDescent="0.25">
      <c r="A299" s="27">
        <v>44854</v>
      </c>
      <c r="B299" s="23">
        <v>148</v>
      </c>
      <c r="C299" s="23">
        <v>140</v>
      </c>
      <c r="D299" s="23">
        <v>132</v>
      </c>
      <c r="E299" s="23">
        <v>8</v>
      </c>
      <c r="F299" s="23">
        <v>8</v>
      </c>
      <c r="G299" s="23">
        <v>0</v>
      </c>
      <c r="H299" s="23">
        <v>8</v>
      </c>
      <c r="I299" s="23">
        <v>14</v>
      </c>
      <c r="J299" s="23">
        <v>15</v>
      </c>
      <c r="K299" s="23">
        <v>10</v>
      </c>
      <c r="L299" s="23">
        <v>14</v>
      </c>
      <c r="M299" s="23">
        <v>23</v>
      </c>
      <c r="N299" s="23">
        <v>16</v>
      </c>
      <c r="O299" s="23">
        <v>23</v>
      </c>
      <c r="P299" s="28">
        <v>9</v>
      </c>
    </row>
    <row r="300" spans="1:16" x14ac:dyDescent="0.25">
      <c r="A300" s="27">
        <v>44855</v>
      </c>
      <c r="B300" s="23">
        <v>144</v>
      </c>
      <c r="C300" s="23">
        <v>136</v>
      </c>
      <c r="D300" s="23">
        <v>129</v>
      </c>
      <c r="E300" s="23">
        <v>7</v>
      </c>
      <c r="F300" s="23">
        <v>8</v>
      </c>
      <c r="G300" s="23">
        <v>0</v>
      </c>
      <c r="H300" s="23">
        <v>9</v>
      </c>
      <c r="I300" s="23">
        <v>24</v>
      </c>
      <c r="J300" s="23">
        <v>9</v>
      </c>
      <c r="K300" s="23">
        <v>15</v>
      </c>
      <c r="L300" s="23">
        <v>12</v>
      </c>
      <c r="M300" s="23">
        <v>15</v>
      </c>
      <c r="N300" s="23">
        <v>11</v>
      </c>
      <c r="O300" s="23">
        <v>21</v>
      </c>
      <c r="P300" s="28">
        <v>13</v>
      </c>
    </row>
    <row r="301" spans="1:16" x14ac:dyDescent="0.25">
      <c r="A301" s="27">
        <v>44856</v>
      </c>
      <c r="B301" s="23">
        <v>5</v>
      </c>
      <c r="C301" s="23">
        <v>5</v>
      </c>
      <c r="D301" s="23">
        <v>5</v>
      </c>
      <c r="E301" s="23">
        <v>0</v>
      </c>
      <c r="F301" s="23">
        <v>0</v>
      </c>
      <c r="G301" s="23">
        <v>0</v>
      </c>
      <c r="H301" s="23">
        <v>0</v>
      </c>
      <c r="I301" s="23">
        <v>0</v>
      </c>
      <c r="J301" s="23">
        <v>2</v>
      </c>
      <c r="K301" s="23">
        <v>0</v>
      </c>
      <c r="L301" s="23">
        <v>0</v>
      </c>
      <c r="M301" s="23">
        <v>2</v>
      </c>
      <c r="N301" s="23">
        <v>1</v>
      </c>
      <c r="O301" s="23">
        <v>0</v>
      </c>
      <c r="P301" s="28">
        <v>0</v>
      </c>
    </row>
    <row r="302" spans="1:16" x14ac:dyDescent="0.25">
      <c r="A302" s="27">
        <v>44857</v>
      </c>
      <c r="B302" s="23">
        <v>0</v>
      </c>
      <c r="C302" s="23">
        <v>0</v>
      </c>
      <c r="D302" s="23">
        <v>0</v>
      </c>
      <c r="E302" s="23">
        <v>0</v>
      </c>
      <c r="F302" s="23">
        <v>0</v>
      </c>
      <c r="G302" s="23">
        <v>0</v>
      </c>
      <c r="H302" s="23">
        <v>0</v>
      </c>
      <c r="I302" s="23">
        <v>0</v>
      </c>
      <c r="J302" s="23">
        <v>0</v>
      </c>
      <c r="K302" s="23">
        <v>0</v>
      </c>
      <c r="L302" s="23">
        <v>0</v>
      </c>
      <c r="M302" s="23">
        <v>0</v>
      </c>
      <c r="N302" s="23">
        <v>0</v>
      </c>
      <c r="O302" s="23">
        <v>0</v>
      </c>
      <c r="P302" s="28">
        <v>0</v>
      </c>
    </row>
    <row r="303" spans="1:16" x14ac:dyDescent="0.25">
      <c r="A303" s="27">
        <v>44858</v>
      </c>
      <c r="B303" s="23">
        <v>150</v>
      </c>
      <c r="C303" s="23">
        <v>136</v>
      </c>
      <c r="D303" s="23">
        <v>126</v>
      </c>
      <c r="E303" s="23">
        <v>8</v>
      </c>
      <c r="F303" s="23">
        <v>8</v>
      </c>
      <c r="G303" s="23">
        <v>6</v>
      </c>
      <c r="H303" s="23">
        <v>6</v>
      </c>
      <c r="I303" s="23">
        <v>16</v>
      </c>
      <c r="J303" s="23">
        <v>13</v>
      </c>
      <c r="K303" s="23">
        <v>13</v>
      </c>
      <c r="L303" s="23">
        <v>16</v>
      </c>
      <c r="M303" s="23">
        <v>21</v>
      </c>
      <c r="N303" s="23">
        <v>12</v>
      </c>
      <c r="O303" s="23">
        <v>18</v>
      </c>
      <c r="P303" s="28">
        <v>11</v>
      </c>
    </row>
    <row r="304" spans="1:16" x14ac:dyDescent="0.25">
      <c r="A304" s="27">
        <v>44859</v>
      </c>
      <c r="B304" s="23">
        <v>128</v>
      </c>
      <c r="C304" s="23">
        <v>113</v>
      </c>
      <c r="D304" s="23">
        <v>108</v>
      </c>
      <c r="E304" s="23">
        <v>5</v>
      </c>
      <c r="F304" s="23">
        <v>11</v>
      </c>
      <c r="G304" s="23">
        <v>4</v>
      </c>
      <c r="H304" s="23">
        <v>6</v>
      </c>
      <c r="I304" s="23">
        <v>10</v>
      </c>
      <c r="J304" s="23">
        <v>14</v>
      </c>
      <c r="K304" s="23">
        <v>7</v>
      </c>
      <c r="L304" s="23">
        <v>10</v>
      </c>
      <c r="M304" s="23">
        <v>13</v>
      </c>
      <c r="N304" s="23">
        <v>11</v>
      </c>
      <c r="O304" s="23">
        <v>25</v>
      </c>
      <c r="P304" s="28">
        <v>12</v>
      </c>
    </row>
    <row r="305" spans="1:16" x14ac:dyDescent="0.25">
      <c r="A305" s="27">
        <v>44860</v>
      </c>
      <c r="B305" s="23">
        <v>150</v>
      </c>
      <c r="C305" s="23">
        <v>135</v>
      </c>
      <c r="D305" s="23">
        <v>131</v>
      </c>
      <c r="E305" s="23">
        <v>4</v>
      </c>
      <c r="F305" s="23">
        <v>12</v>
      </c>
      <c r="G305" s="23">
        <v>3</v>
      </c>
      <c r="H305" s="23">
        <v>3</v>
      </c>
      <c r="I305" s="23">
        <v>18</v>
      </c>
      <c r="J305" s="23">
        <v>14</v>
      </c>
      <c r="K305" s="23">
        <v>18</v>
      </c>
      <c r="L305" s="23">
        <v>11</v>
      </c>
      <c r="M305" s="23">
        <v>16</v>
      </c>
      <c r="N305" s="23">
        <v>11</v>
      </c>
      <c r="O305" s="23">
        <v>26</v>
      </c>
      <c r="P305" s="28">
        <v>14</v>
      </c>
    </row>
    <row r="306" spans="1:16" x14ac:dyDescent="0.25">
      <c r="A306" s="27">
        <v>44861</v>
      </c>
      <c r="B306" s="23">
        <v>132</v>
      </c>
      <c r="C306" s="23">
        <v>125</v>
      </c>
      <c r="D306" s="23">
        <v>120</v>
      </c>
      <c r="E306" s="23">
        <v>5</v>
      </c>
      <c r="F306" s="23">
        <v>5</v>
      </c>
      <c r="G306" s="23">
        <v>2</v>
      </c>
      <c r="H306" s="23">
        <v>5</v>
      </c>
      <c r="I306" s="23">
        <v>15</v>
      </c>
      <c r="J306" s="23">
        <v>17</v>
      </c>
      <c r="K306" s="23">
        <v>8</v>
      </c>
      <c r="L306" s="23">
        <v>9</v>
      </c>
      <c r="M306" s="23">
        <v>18</v>
      </c>
      <c r="N306" s="23">
        <v>13</v>
      </c>
      <c r="O306" s="23">
        <v>25</v>
      </c>
      <c r="P306" s="28">
        <v>10</v>
      </c>
    </row>
    <row r="307" spans="1:16" x14ac:dyDescent="0.25">
      <c r="A307" s="27">
        <v>44862</v>
      </c>
      <c r="B307" s="23">
        <v>151</v>
      </c>
      <c r="C307" s="23">
        <v>137</v>
      </c>
      <c r="D307" s="23">
        <v>130</v>
      </c>
      <c r="E307" s="23">
        <v>7</v>
      </c>
      <c r="F307" s="23">
        <v>10</v>
      </c>
      <c r="G307" s="23">
        <v>4</v>
      </c>
      <c r="H307" s="23">
        <v>6</v>
      </c>
      <c r="I307" s="23">
        <v>17</v>
      </c>
      <c r="J307" s="23">
        <v>9</v>
      </c>
      <c r="K307" s="23">
        <v>17</v>
      </c>
      <c r="L307" s="23">
        <v>8</v>
      </c>
      <c r="M307" s="23">
        <v>23</v>
      </c>
      <c r="N307" s="23">
        <v>17</v>
      </c>
      <c r="O307" s="23">
        <v>24</v>
      </c>
      <c r="P307" s="28">
        <v>9</v>
      </c>
    </row>
    <row r="308" spans="1:16" x14ac:dyDescent="0.25">
      <c r="A308" s="27">
        <v>44863</v>
      </c>
      <c r="B308" s="23">
        <v>8</v>
      </c>
      <c r="C308" s="23">
        <v>5</v>
      </c>
      <c r="D308" s="23">
        <v>3</v>
      </c>
      <c r="E308" s="23">
        <v>2</v>
      </c>
      <c r="F308" s="23">
        <v>3</v>
      </c>
      <c r="G308" s="23">
        <v>0</v>
      </c>
      <c r="H308" s="23">
        <v>0</v>
      </c>
      <c r="I308" s="23">
        <v>0</v>
      </c>
      <c r="J308" s="23">
        <v>0</v>
      </c>
      <c r="K308" s="23">
        <v>0</v>
      </c>
      <c r="L308" s="23">
        <v>1</v>
      </c>
      <c r="M308" s="23">
        <v>2</v>
      </c>
      <c r="N308" s="23">
        <v>0</v>
      </c>
      <c r="O308" s="23">
        <v>0</v>
      </c>
      <c r="P308" s="28">
        <v>0</v>
      </c>
    </row>
    <row r="309" spans="1:16" x14ac:dyDescent="0.25">
      <c r="A309" s="27">
        <v>44864</v>
      </c>
      <c r="B309" s="23">
        <v>0</v>
      </c>
      <c r="C309" s="23">
        <v>0</v>
      </c>
      <c r="D309" s="23">
        <v>0</v>
      </c>
      <c r="E309" s="23">
        <v>0</v>
      </c>
      <c r="F309" s="23">
        <v>0</v>
      </c>
      <c r="G309" s="23">
        <v>0</v>
      </c>
      <c r="H309" s="23">
        <v>0</v>
      </c>
      <c r="I309" s="23">
        <v>0</v>
      </c>
      <c r="J309" s="23">
        <v>0</v>
      </c>
      <c r="K309" s="23">
        <v>0</v>
      </c>
      <c r="L309" s="23">
        <v>0</v>
      </c>
      <c r="M309" s="23">
        <v>0</v>
      </c>
      <c r="N309" s="23">
        <v>0</v>
      </c>
      <c r="O309" s="23">
        <v>0</v>
      </c>
      <c r="P309" s="28">
        <v>0</v>
      </c>
    </row>
    <row r="310" spans="1:16" x14ac:dyDescent="0.25">
      <c r="A310" s="27">
        <v>44865</v>
      </c>
      <c r="B310" s="23">
        <v>142</v>
      </c>
      <c r="C310" s="23">
        <v>129</v>
      </c>
      <c r="D310" s="23">
        <v>122</v>
      </c>
      <c r="E310" s="23">
        <v>7</v>
      </c>
      <c r="F310" s="23">
        <v>8</v>
      </c>
      <c r="G310" s="23">
        <v>5</v>
      </c>
      <c r="H310" s="23">
        <v>8</v>
      </c>
      <c r="I310" s="23">
        <v>12</v>
      </c>
      <c r="J310" s="23">
        <v>18</v>
      </c>
      <c r="K310" s="23">
        <v>13</v>
      </c>
      <c r="L310" s="23">
        <v>8</v>
      </c>
      <c r="M310" s="23">
        <v>15</v>
      </c>
      <c r="N310" s="23">
        <v>15</v>
      </c>
      <c r="O310" s="23">
        <v>19</v>
      </c>
      <c r="P310" s="28">
        <v>14</v>
      </c>
    </row>
    <row r="311" spans="1:16" x14ac:dyDescent="0.25">
      <c r="A311" s="27">
        <v>44866</v>
      </c>
      <c r="B311" s="23">
        <v>137</v>
      </c>
      <c r="C311" s="23">
        <v>127</v>
      </c>
      <c r="D311" s="23">
        <v>122</v>
      </c>
      <c r="E311" s="23">
        <v>5</v>
      </c>
      <c r="F311" s="23">
        <v>9</v>
      </c>
      <c r="G311" s="23">
        <v>1</v>
      </c>
      <c r="H311" s="23">
        <v>4</v>
      </c>
      <c r="I311" s="23">
        <v>18</v>
      </c>
      <c r="J311" s="23">
        <v>13</v>
      </c>
      <c r="K311" s="23">
        <v>15</v>
      </c>
      <c r="L311" s="23">
        <v>15</v>
      </c>
      <c r="M311" s="23">
        <v>15</v>
      </c>
      <c r="N311" s="23">
        <v>8</v>
      </c>
      <c r="O311" s="23">
        <v>22</v>
      </c>
      <c r="P311" s="28">
        <v>12</v>
      </c>
    </row>
    <row r="312" spans="1:16" x14ac:dyDescent="0.25">
      <c r="A312" s="27">
        <v>44867</v>
      </c>
      <c r="B312" s="23">
        <v>151</v>
      </c>
      <c r="C312" s="23">
        <v>139</v>
      </c>
      <c r="D312" s="23">
        <v>128</v>
      </c>
      <c r="E312" s="23">
        <v>11</v>
      </c>
      <c r="F312" s="23">
        <v>9</v>
      </c>
      <c r="G312" s="23">
        <v>3</v>
      </c>
      <c r="H312" s="23">
        <v>8</v>
      </c>
      <c r="I312" s="23">
        <v>14</v>
      </c>
      <c r="J312" s="23">
        <v>19</v>
      </c>
      <c r="K312" s="23">
        <v>9</v>
      </c>
      <c r="L312" s="23">
        <v>15</v>
      </c>
      <c r="M312" s="23">
        <v>19</v>
      </c>
      <c r="N312" s="23">
        <v>10</v>
      </c>
      <c r="O312" s="23">
        <v>20</v>
      </c>
      <c r="P312" s="28">
        <v>14</v>
      </c>
    </row>
    <row r="313" spans="1:16" x14ac:dyDescent="0.25">
      <c r="A313" s="27">
        <v>44868</v>
      </c>
      <c r="B313" s="23">
        <v>155</v>
      </c>
      <c r="C313" s="23">
        <v>147</v>
      </c>
      <c r="D313" s="23">
        <v>133</v>
      </c>
      <c r="E313" s="23">
        <v>13</v>
      </c>
      <c r="F313" s="23">
        <v>7</v>
      </c>
      <c r="G313" s="23">
        <v>1</v>
      </c>
      <c r="H313" s="23">
        <v>8</v>
      </c>
      <c r="I313" s="23">
        <v>21</v>
      </c>
      <c r="J313" s="23">
        <v>13</v>
      </c>
      <c r="K313" s="23">
        <v>17</v>
      </c>
      <c r="L313" s="23">
        <v>8</v>
      </c>
      <c r="M313" s="23">
        <v>8</v>
      </c>
      <c r="N313" s="23">
        <v>20</v>
      </c>
      <c r="O313" s="23">
        <v>23</v>
      </c>
      <c r="P313" s="28">
        <v>15</v>
      </c>
    </row>
    <row r="314" spans="1:16" x14ac:dyDescent="0.25">
      <c r="A314" s="27">
        <v>44869</v>
      </c>
      <c r="B314" s="23">
        <v>118</v>
      </c>
      <c r="C314" s="23">
        <v>103</v>
      </c>
      <c r="D314" s="23">
        <v>97</v>
      </c>
      <c r="E314" s="23">
        <v>6</v>
      </c>
      <c r="F314" s="23">
        <v>13</v>
      </c>
      <c r="G314" s="23">
        <v>2</v>
      </c>
      <c r="H314" s="23">
        <v>6</v>
      </c>
      <c r="I314" s="23">
        <v>12</v>
      </c>
      <c r="J314" s="23">
        <v>12</v>
      </c>
      <c r="K314" s="23">
        <v>11</v>
      </c>
      <c r="L314" s="23">
        <v>8</v>
      </c>
      <c r="M314" s="23">
        <v>14</v>
      </c>
      <c r="N314" s="23">
        <v>12</v>
      </c>
      <c r="O314" s="23">
        <v>15</v>
      </c>
      <c r="P314" s="28">
        <v>7</v>
      </c>
    </row>
    <row r="315" spans="1:16" x14ac:dyDescent="0.25">
      <c r="A315" s="27">
        <v>44870</v>
      </c>
      <c r="B315" s="23">
        <v>4</v>
      </c>
      <c r="C315" s="23">
        <v>3</v>
      </c>
      <c r="D315" s="23">
        <v>2</v>
      </c>
      <c r="E315" s="23">
        <v>1</v>
      </c>
      <c r="F315" s="23">
        <v>1</v>
      </c>
      <c r="G315" s="23">
        <v>0</v>
      </c>
      <c r="H315" s="23">
        <v>0</v>
      </c>
      <c r="I315" s="23">
        <v>0</v>
      </c>
      <c r="J315" s="23">
        <v>0</v>
      </c>
      <c r="K315" s="23">
        <v>0</v>
      </c>
      <c r="L315" s="23">
        <v>0</v>
      </c>
      <c r="M315" s="23">
        <v>0</v>
      </c>
      <c r="N315" s="23">
        <v>2</v>
      </c>
      <c r="O315" s="23">
        <v>0</v>
      </c>
      <c r="P315" s="28">
        <v>0</v>
      </c>
    </row>
    <row r="316" spans="1:16" x14ac:dyDescent="0.25">
      <c r="A316" s="27">
        <v>44871</v>
      </c>
      <c r="B316" s="23">
        <v>0</v>
      </c>
      <c r="C316" s="23">
        <v>0</v>
      </c>
      <c r="D316" s="23">
        <v>0</v>
      </c>
      <c r="E316" s="23">
        <v>0</v>
      </c>
      <c r="F316" s="23">
        <v>0</v>
      </c>
      <c r="G316" s="23">
        <v>0</v>
      </c>
      <c r="H316" s="23">
        <v>0</v>
      </c>
      <c r="I316" s="23">
        <v>0</v>
      </c>
      <c r="J316" s="23">
        <v>0</v>
      </c>
      <c r="K316" s="23">
        <v>0</v>
      </c>
      <c r="L316" s="23">
        <v>0</v>
      </c>
      <c r="M316" s="23">
        <v>0</v>
      </c>
      <c r="N316" s="23">
        <v>0</v>
      </c>
      <c r="O316" s="23">
        <v>0</v>
      </c>
      <c r="P316" s="28">
        <v>0</v>
      </c>
    </row>
    <row r="317" spans="1:16" x14ac:dyDescent="0.25">
      <c r="A317" s="27">
        <v>44872</v>
      </c>
      <c r="B317" s="23">
        <v>102</v>
      </c>
      <c r="C317" s="23">
        <v>92</v>
      </c>
      <c r="D317" s="23">
        <v>84</v>
      </c>
      <c r="E317" s="23">
        <v>8</v>
      </c>
      <c r="F317" s="23">
        <v>6</v>
      </c>
      <c r="G317" s="23">
        <v>4</v>
      </c>
      <c r="H317" s="23">
        <v>7</v>
      </c>
      <c r="I317" s="23">
        <v>4</v>
      </c>
      <c r="J317" s="23">
        <v>7</v>
      </c>
      <c r="K317" s="23">
        <v>11</v>
      </c>
      <c r="L317" s="23">
        <v>10</v>
      </c>
      <c r="M317" s="23">
        <v>10</v>
      </c>
      <c r="N317" s="23">
        <v>9</v>
      </c>
      <c r="O317" s="23">
        <v>19</v>
      </c>
      <c r="P317" s="28">
        <v>7</v>
      </c>
    </row>
    <row r="318" spans="1:16" x14ac:dyDescent="0.25">
      <c r="A318" s="27">
        <v>44873</v>
      </c>
      <c r="B318" s="23">
        <v>131</v>
      </c>
      <c r="C318" s="23">
        <v>117</v>
      </c>
      <c r="D318" s="23">
        <v>109</v>
      </c>
      <c r="E318" s="23">
        <v>8</v>
      </c>
      <c r="F318" s="23">
        <v>11</v>
      </c>
      <c r="G318" s="23">
        <v>3</v>
      </c>
      <c r="H318" s="23">
        <v>6</v>
      </c>
      <c r="I318" s="23">
        <v>17</v>
      </c>
      <c r="J318" s="23">
        <v>13</v>
      </c>
      <c r="K318" s="23">
        <v>15</v>
      </c>
      <c r="L318" s="23">
        <v>9</v>
      </c>
      <c r="M318" s="23">
        <v>9</v>
      </c>
      <c r="N318" s="23">
        <v>14</v>
      </c>
      <c r="O318" s="23">
        <v>21</v>
      </c>
      <c r="P318" s="28">
        <v>5</v>
      </c>
    </row>
    <row r="319" spans="1:16" x14ac:dyDescent="0.25">
      <c r="A319" s="27">
        <v>44874</v>
      </c>
      <c r="B319" s="23">
        <v>128</v>
      </c>
      <c r="C319" s="23">
        <v>113</v>
      </c>
      <c r="D319" s="23">
        <v>107</v>
      </c>
      <c r="E319" s="23">
        <v>6</v>
      </c>
      <c r="F319" s="23">
        <v>13</v>
      </c>
      <c r="G319" s="23">
        <v>2</v>
      </c>
      <c r="H319" s="23">
        <v>6</v>
      </c>
      <c r="I319" s="23">
        <v>17</v>
      </c>
      <c r="J319" s="23">
        <v>9</v>
      </c>
      <c r="K319" s="23">
        <v>14</v>
      </c>
      <c r="L319" s="23">
        <v>5</v>
      </c>
      <c r="M319" s="23">
        <v>16</v>
      </c>
      <c r="N319" s="23">
        <v>12</v>
      </c>
      <c r="O319" s="23">
        <v>14</v>
      </c>
      <c r="P319" s="28">
        <v>14</v>
      </c>
    </row>
    <row r="320" spans="1:16" x14ac:dyDescent="0.25">
      <c r="A320" s="27">
        <v>44875</v>
      </c>
      <c r="B320" s="23">
        <v>122</v>
      </c>
      <c r="C320" s="23">
        <v>108</v>
      </c>
      <c r="D320" s="23">
        <v>96</v>
      </c>
      <c r="E320" s="23">
        <v>12</v>
      </c>
      <c r="F320" s="23">
        <v>8</v>
      </c>
      <c r="G320" s="23">
        <v>6</v>
      </c>
      <c r="H320" s="23">
        <v>4</v>
      </c>
      <c r="I320" s="23">
        <v>11</v>
      </c>
      <c r="J320" s="23">
        <v>9</v>
      </c>
      <c r="K320" s="23">
        <v>14</v>
      </c>
      <c r="L320" s="23">
        <v>8</v>
      </c>
      <c r="M320" s="23">
        <v>11</v>
      </c>
      <c r="N320" s="23">
        <v>10</v>
      </c>
      <c r="O320" s="23">
        <v>14</v>
      </c>
      <c r="P320" s="28">
        <v>15</v>
      </c>
    </row>
    <row r="321" spans="1:16" x14ac:dyDescent="0.25">
      <c r="A321" s="27">
        <v>44876</v>
      </c>
      <c r="B321" s="23">
        <v>97</v>
      </c>
      <c r="C321" s="23">
        <v>85</v>
      </c>
      <c r="D321" s="23">
        <v>80</v>
      </c>
      <c r="E321" s="23">
        <v>5</v>
      </c>
      <c r="F321" s="23">
        <v>9</v>
      </c>
      <c r="G321" s="23">
        <v>3</v>
      </c>
      <c r="H321" s="23">
        <v>7</v>
      </c>
      <c r="I321" s="23">
        <v>9</v>
      </c>
      <c r="J321" s="23">
        <v>8</v>
      </c>
      <c r="K321" s="23">
        <v>8</v>
      </c>
      <c r="L321" s="23">
        <v>10</v>
      </c>
      <c r="M321" s="23">
        <v>9</v>
      </c>
      <c r="N321" s="23">
        <v>9</v>
      </c>
      <c r="O321" s="23">
        <v>15</v>
      </c>
      <c r="P321" s="28">
        <v>5</v>
      </c>
    </row>
    <row r="322" spans="1:16" x14ac:dyDescent="0.25">
      <c r="A322" s="27">
        <v>44877</v>
      </c>
      <c r="B322" s="23">
        <v>3</v>
      </c>
      <c r="C322" s="23">
        <v>2</v>
      </c>
      <c r="D322" s="23">
        <v>2</v>
      </c>
      <c r="E322" s="23">
        <v>0</v>
      </c>
      <c r="F322" s="23">
        <v>1</v>
      </c>
      <c r="G322" s="23">
        <v>0</v>
      </c>
      <c r="H322" s="23">
        <v>0</v>
      </c>
      <c r="I322" s="23">
        <v>0</v>
      </c>
      <c r="J322" s="23">
        <v>1</v>
      </c>
      <c r="K322" s="23">
        <v>0</v>
      </c>
      <c r="L322" s="23">
        <v>1</v>
      </c>
      <c r="M322" s="23">
        <v>0</v>
      </c>
      <c r="N322" s="23">
        <v>0</v>
      </c>
      <c r="O322" s="23">
        <v>0</v>
      </c>
      <c r="P322" s="28">
        <v>0</v>
      </c>
    </row>
    <row r="323" spans="1:16" x14ac:dyDescent="0.25">
      <c r="A323" s="27">
        <v>44878</v>
      </c>
      <c r="B323" s="23">
        <v>0</v>
      </c>
      <c r="C323" s="23">
        <v>0</v>
      </c>
      <c r="D323" s="23">
        <v>0</v>
      </c>
      <c r="E323" s="23">
        <v>0</v>
      </c>
      <c r="F323" s="23">
        <v>0</v>
      </c>
      <c r="G323" s="23">
        <v>0</v>
      </c>
      <c r="H323" s="23">
        <v>0</v>
      </c>
      <c r="I323" s="23">
        <v>0</v>
      </c>
      <c r="J323" s="23">
        <v>0</v>
      </c>
      <c r="K323" s="23">
        <v>0</v>
      </c>
      <c r="L323" s="23">
        <v>0</v>
      </c>
      <c r="M323" s="23">
        <v>0</v>
      </c>
      <c r="N323" s="23">
        <v>0</v>
      </c>
      <c r="O323" s="23">
        <v>0</v>
      </c>
      <c r="P323" s="28">
        <v>0</v>
      </c>
    </row>
    <row r="324" spans="1:16" x14ac:dyDescent="0.25">
      <c r="A324" s="27">
        <v>44879</v>
      </c>
      <c r="B324" s="23">
        <v>81</v>
      </c>
      <c r="C324" s="23">
        <v>74</v>
      </c>
      <c r="D324" s="23">
        <v>71</v>
      </c>
      <c r="E324" s="23">
        <v>3</v>
      </c>
      <c r="F324" s="23">
        <v>6</v>
      </c>
      <c r="G324" s="23">
        <v>1</v>
      </c>
      <c r="H324" s="23">
        <v>1</v>
      </c>
      <c r="I324" s="23">
        <v>10</v>
      </c>
      <c r="J324" s="23">
        <v>9</v>
      </c>
      <c r="K324" s="23">
        <v>16</v>
      </c>
      <c r="L324" s="23">
        <v>6</v>
      </c>
      <c r="M324" s="23">
        <v>4</v>
      </c>
      <c r="N324" s="23">
        <v>7</v>
      </c>
      <c r="O324" s="23">
        <v>11</v>
      </c>
      <c r="P324" s="28">
        <v>7</v>
      </c>
    </row>
    <row r="325" spans="1:16" x14ac:dyDescent="0.25">
      <c r="A325" s="27">
        <v>44880</v>
      </c>
      <c r="B325" s="23">
        <v>98</v>
      </c>
      <c r="C325" s="23">
        <v>92</v>
      </c>
      <c r="D325" s="23">
        <v>88</v>
      </c>
      <c r="E325" s="23">
        <v>3</v>
      </c>
      <c r="F325" s="23">
        <v>4</v>
      </c>
      <c r="G325" s="23">
        <v>2</v>
      </c>
      <c r="H325" s="23">
        <v>6</v>
      </c>
      <c r="I325" s="23">
        <v>10</v>
      </c>
      <c r="J325" s="23">
        <v>10</v>
      </c>
      <c r="K325" s="23">
        <v>11</v>
      </c>
      <c r="L325" s="23">
        <v>11</v>
      </c>
      <c r="M325" s="23">
        <v>8</v>
      </c>
      <c r="N325" s="23">
        <v>7</v>
      </c>
      <c r="O325" s="23">
        <v>14</v>
      </c>
      <c r="P325" s="28">
        <v>11</v>
      </c>
    </row>
    <row r="326" spans="1:16" x14ac:dyDescent="0.25">
      <c r="A326" s="27">
        <v>44881</v>
      </c>
      <c r="B326" s="23">
        <v>104</v>
      </c>
      <c r="C326" s="23">
        <v>90</v>
      </c>
      <c r="D326" s="23">
        <v>85</v>
      </c>
      <c r="E326" s="23">
        <v>5</v>
      </c>
      <c r="F326" s="23">
        <v>14</v>
      </c>
      <c r="G326" s="23">
        <v>0</v>
      </c>
      <c r="H326" s="23">
        <v>8</v>
      </c>
      <c r="I326" s="23">
        <v>12</v>
      </c>
      <c r="J326" s="23">
        <v>15</v>
      </c>
      <c r="K326" s="23">
        <v>7</v>
      </c>
      <c r="L326" s="23">
        <v>10</v>
      </c>
      <c r="M326" s="23">
        <v>9</v>
      </c>
      <c r="N326" s="23">
        <v>11</v>
      </c>
      <c r="O326" s="23">
        <v>8</v>
      </c>
      <c r="P326" s="28">
        <v>5</v>
      </c>
    </row>
    <row r="327" spans="1:16" x14ac:dyDescent="0.25">
      <c r="A327" s="27">
        <v>44882</v>
      </c>
      <c r="B327" s="23">
        <v>87</v>
      </c>
      <c r="C327" s="23">
        <v>76</v>
      </c>
      <c r="D327" s="23">
        <v>71</v>
      </c>
      <c r="E327" s="23">
        <v>5</v>
      </c>
      <c r="F327" s="23">
        <v>10</v>
      </c>
      <c r="G327" s="23">
        <v>1</v>
      </c>
      <c r="H327" s="23">
        <v>3</v>
      </c>
      <c r="I327" s="23">
        <v>12</v>
      </c>
      <c r="J327" s="23">
        <v>8</v>
      </c>
      <c r="K327" s="23">
        <v>3</v>
      </c>
      <c r="L327" s="23">
        <v>4</v>
      </c>
      <c r="M327" s="23">
        <v>14</v>
      </c>
      <c r="N327" s="23">
        <v>6</v>
      </c>
      <c r="O327" s="23">
        <v>12</v>
      </c>
      <c r="P327" s="28">
        <v>9</v>
      </c>
    </row>
    <row r="328" spans="1:16" x14ac:dyDescent="0.25">
      <c r="A328" s="27">
        <v>44883</v>
      </c>
      <c r="B328" s="23">
        <v>101</v>
      </c>
      <c r="C328" s="23">
        <v>89</v>
      </c>
      <c r="D328" s="23">
        <v>84</v>
      </c>
      <c r="E328" s="23">
        <v>5</v>
      </c>
      <c r="F328" s="23">
        <v>8</v>
      </c>
      <c r="G328" s="23">
        <v>4</v>
      </c>
      <c r="H328" s="23">
        <v>9</v>
      </c>
      <c r="I328" s="23">
        <v>11</v>
      </c>
      <c r="J328" s="23">
        <v>8</v>
      </c>
      <c r="K328" s="23">
        <v>8</v>
      </c>
      <c r="L328" s="23">
        <v>10</v>
      </c>
      <c r="M328" s="23">
        <v>13</v>
      </c>
      <c r="N328" s="23">
        <v>13</v>
      </c>
      <c r="O328" s="23">
        <v>10</v>
      </c>
      <c r="P328" s="28">
        <v>2</v>
      </c>
    </row>
    <row r="329" spans="1:16" x14ac:dyDescent="0.25">
      <c r="A329" s="27">
        <v>44884</v>
      </c>
      <c r="B329" s="23">
        <v>2</v>
      </c>
      <c r="C329" s="23">
        <v>2</v>
      </c>
      <c r="D329" s="23">
        <v>2</v>
      </c>
      <c r="E329" s="23">
        <v>0</v>
      </c>
      <c r="F329" s="23">
        <v>0</v>
      </c>
      <c r="G329" s="23">
        <v>0</v>
      </c>
      <c r="H329" s="23">
        <v>0</v>
      </c>
      <c r="I329" s="23">
        <v>1</v>
      </c>
      <c r="J329" s="23">
        <v>0</v>
      </c>
      <c r="K329" s="23">
        <v>0</v>
      </c>
      <c r="L329" s="23">
        <v>0</v>
      </c>
      <c r="M329" s="23">
        <v>1</v>
      </c>
      <c r="N329" s="23">
        <v>0</v>
      </c>
      <c r="O329" s="23">
        <v>0</v>
      </c>
      <c r="P329" s="28">
        <v>0</v>
      </c>
    </row>
    <row r="330" spans="1:16" x14ac:dyDescent="0.25">
      <c r="A330" s="27">
        <v>44885</v>
      </c>
      <c r="B330" s="23">
        <v>0</v>
      </c>
      <c r="C330" s="23">
        <v>0</v>
      </c>
      <c r="D330" s="23">
        <v>0</v>
      </c>
      <c r="E330" s="23">
        <v>0</v>
      </c>
      <c r="F330" s="23">
        <v>0</v>
      </c>
      <c r="G330" s="23">
        <v>0</v>
      </c>
      <c r="H330" s="23">
        <v>0</v>
      </c>
      <c r="I330" s="23">
        <v>0</v>
      </c>
      <c r="J330" s="23">
        <v>0</v>
      </c>
      <c r="K330" s="23">
        <v>0</v>
      </c>
      <c r="L330" s="23">
        <v>0</v>
      </c>
      <c r="M330" s="23">
        <v>0</v>
      </c>
      <c r="N330" s="23">
        <v>0</v>
      </c>
      <c r="O330" s="23">
        <v>0</v>
      </c>
      <c r="P330" s="28">
        <v>0</v>
      </c>
    </row>
    <row r="331" spans="1:16" x14ac:dyDescent="0.25">
      <c r="A331" s="27">
        <v>44886</v>
      </c>
      <c r="B331" s="23">
        <v>72</v>
      </c>
      <c r="C331" s="23">
        <v>64</v>
      </c>
      <c r="D331" s="23">
        <v>62</v>
      </c>
      <c r="E331" s="23">
        <v>2</v>
      </c>
      <c r="F331" s="23">
        <v>6</v>
      </c>
      <c r="G331" s="23">
        <v>2</v>
      </c>
      <c r="H331" s="23">
        <v>7</v>
      </c>
      <c r="I331" s="23">
        <v>5</v>
      </c>
      <c r="J331" s="23">
        <v>8</v>
      </c>
      <c r="K331" s="23">
        <v>6</v>
      </c>
      <c r="L331" s="23">
        <v>4</v>
      </c>
      <c r="M331" s="23">
        <v>10</v>
      </c>
      <c r="N331" s="23">
        <v>7</v>
      </c>
      <c r="O331" s="23">
        <v>8</v>
      </c>
      <c r="P331" s="28">
        <v>7</v>
      </c>
    </row>
    <row r="332" spans="1:16" x14ac:dyDescent="0.25">
      <c r="A332" s="27">
        <v>44887</v>
      </c>
      <c r="B332" s="23">
        <v>84</v>
      </c>
      <c r="C332" s="23">
        <v>71</v>
      </c>
      <c r="D332" s="23">
        <v>71</v>
      </c>
      <c r="E332" s="23">
        <v>0</v>
      </c>
      <c r="F332" s="23">
        <v>12</v>
      </c>
      <c r="G332" s="23">
        <v>1</v>
      </c>
      <c r="H332" s="23">
        <v>4</v>
      </c>
      <c r="I332" s="23">
        <v>10</v>
      </c>
      <c r="J332" s="23">
        <v>5</v>
      </c>
      <c r="K332" s="23">
        <v>10</v>
      </c>
      <c r="L332" s="23">
        <v>6</v>
      </c>
      <c r="M332" s="23">
        <v>6</v>
      </c>
      <c r="N332" s="23">
        <v>11</v>
      </c>
      <c r="O332" s="23">
        <v>13</v>
      </c>
      <c r="P332" s="28">
        <v>6</v>
      </c>
    </row>
    <row r="333" spans="1:16" x14ac:dyDescent="0.25">
      <c r="A333" s="27">
        <v>44888</v>
      </c>
      <c r="B333" s="23">
        <v>97</v>
      </c>
      <c r="C333" s="23">
        <v>84</v>
      </c>
      <c r="D333" s="23">
        <v>80</v>
      </c>
      <c r="E333" s="23">
        <v>4</v>
      </c>
      <c r="F333" s="23">
        <v>9</v>
      </c>
      <c r="G333" s="23">
        <v>4</v>
      </c>
      <c r="H333" s="23">
        <v>5</v>
      </c>
      <c r="I333" s="23">
        <v>8</v>
      </c>
      <c r="J333" s="23">
        <v>8</v>
      </c>
      <c r="K333" s="23">
        <v>6</v>
      </c>
      <c r="L333" s="23">
        <v>10</v>
      </c>
      <c r="M333" s="23">
        <v>11</v>
      </c>
      <c r="N333" s="23">
        <v>13</v>
      </c>
      <c r="O333" s="23">
        <v>15</v>
      </c>
      <c r="P333" s="28">
        <v>4</v>
      </c>
    </row>
    <row r="334" spans="1:16" x14ac:dyDescent="0.25">
      <c r="A334" s="27">
        <v>44889</v>
      </c>
      <c r="B334" s="23">
        <v>73</v>
      </c>
      <c r="C334" s="23">
        <v>59</v>
      </c>
      <c r="D334" s="23">
        <v>54</v>
      </c>
      <c r="E334" s="23">
        <v>5</v>
      </c>
      <c r="F334" s="23">
        <v>10</v>
      </c>
      <c r="G334" s="23">
        <v>4</v>
      </c>
      <c r="H334" s="23">
        <v>4</v>
      </c>
      <c r="I334" s="23">
        <v>5</v>
      </c>
      <c r="J334" s="23">
        <v>5</v>
      </c>
      <c r="K334" s="23">
        <v>3</v>
      </c>
      <c r="L334" s="23">
        <v>9</v>
      </c>
      <c r="M334" s="23">
        <v>11</v>
      </c>
      <c r="N334" s="23">
        <v>6</v>
      </c>
      <c r="O334" s="23">
        <v>10</v>
      </c>
      <c r="P334" s="28">
        <v>1</v>
      </c>
    </row>
    <row r="335" spans="1:16" x14ac:dyDescent="0.25">
      <c r="A335" s="27">
        <v>44890</v>
      </c>
      <c r="B335" s="23">
        <v>72</v>
      </c>
      <c r="C335" s="23">
        <v>68</v>
      </c>
      <c r="D335" s="23">
        <v>64</v>
      </c>
      <c r="E335" s="23">
        <v>4</v>
      </c>
      <c r="F335" s="23">
        <v>3</v>
      </c>
      <c r="G335" s="23">
        <v>1</v>
      </c>
      <c r="H335" s="23">
        <v>3</v>
      </c>
      <c r="I335" s="23">
        <v>8</v>
      </c>
      <c r="J335" s="23">
        <v>7</v>
      </c>
      <c r="K335" s="23">
        <v>2</v>
      </c>
      <c r="L335" s="23">
        <v>7</v>
      </c>
      <c r="M335" s="23">
        <v>10</v>
      </c>
      <c r="N335" s="23">
        <v>8</v>
      </c>
      <c r="O335" s="23">
        <v>14</v>
      </c>
      <c r="P335" s="28">
        <v>5</v>
      </c>
    </row>
    <row r="336" spans="1:16" x14ac:dyDescent="0.25">
      <c r="A336" s="27">
        <v>44891</v>
      </c>
      <c r="B336" s="23">
        <v>5</v>
      </c>
      <c r="C336" s="23">
        <v>5</v>
      </c>
      <c r="D336" s="23">
        <v>5</v>
      </c>
      <c r="E336" s="23">
        <v>0</v>
      </c>
      <c r="F336" s="23">
        <v>0</v>
      </c>
      <c r="G336" s="23">
        <v>0</v>
      </c>
      <c r="H336" s="23">
        <v>1</v>
      </c>
      <c r="I336" s="23">
        <v>0</v>
      </c>
      <c r="J336" s="23">
        <v>0</v>
      </c>
      <c r="K336" s="23">
        <v>0</v>
      </c>
      <c r="L336" s="23">
        <v>0</v>
      </c>
      <c r="M336" s="23">
        <v>3</v>
      </c>
      <c r="N336" s="23">
        <v>1</v>
      </c>
      <c r="O336" s="23">
        <v>0</v>
      </c>
      <c r="P336" s="28">
        <v>0</v>
      </c>
    </row>
    <row r="337" spans="1:16" x14ac:dyDescent="0.25">
      <c r="A337" s="27">
        <v>44892</v>
      </c>
      <c r="B337" s="23">
        <v>0</v>
      </c>
      <c r="C337" s="23">
        <v>0</v>
      </c>
      <c r="D337" s="23">
        <v>0</v>
      </c>
      <c r="E337" s="23">
        <v>0</v>
      </c>
      <c r="F337" s="23">
        <v>0</v>
      </c>
      <c r="G337" s="23">
        <v>0</v>
      </c>
      <c r="H337" s="23">
        <v>0</v>
      </c>
      <c r="I337" s="23">
        <v>0</v>
      </c>
      <c r="J337" s="23">
        <v>0</v>
      </c>
      <c r="K337" s="23">
        <v>0</v>
      </c>
      <c r="L337" s="23">
        <v>0</v>
      </c>
      <c r="M337" s="23">
        <v>0</v>
      </c>
      <c r="N337" s="23">
        <v>0</v>
      </c>
      <c r="O337" s="23">
        <v>0</v>
      </c>
      <c r="P337" s="28">
        <v>0</v>
      </c>
    </row>
    <row r="338" spans="1:16" x14ac:dyDescent="0.25">
      <c r="A338" s="27">
        <v>44893</v>
      </c>
      <c r="B338" s="23">
        <v>87</v>
      </c>
      <c r="C338" s="23">
        <v>75</v>
      </c>
      <c r="D338" s="23">
        <v>72</v>
      </c>
      <c r="E338" s="23">
        <v>2</v>
      </c>
      <c r="F338" s="23">
        <v>9</v>
      </c>
      <c r="G338" s="23">
        <v>3</v>
      </c>
      <c r="H338" s="23">
        <v>2</v>
      </c>
      <c r="I338" s="23">
        <v>11</v>
      </c>
      <c r="J338" s="23">
        <v>7</v>
      </c>
      <c r="K338" s="23">
        <v>11</v>
      </c>
      <c r="L338" s="23">
        <v>9</v>
      </c>
      <c r="M338" s="23">
        <v>7</v>
      </c>
      <c r="N338" s="23">
        <v>7</v>
      </c>
      <c r="O338" s="23">
        <v>9</v>
      </c>
      <c r="P338" s="28">
        <v>9</v>
      </c>
    </row>
    <row r="339" spans="1:16" x14ac:dyDescent="0.25">
      <c r="A339" s="27">
        <v>44894</v>
      </c>
      <c r="B339" s="23">
        <v>86</v>
      </c>
      <c r="C339" s="23">
        <v>74</v>
      </c>
      <c r="D339" s="23">
        <v>72</v>
      </c>
      <c r="E339" s="23">
        <v>2</v>
      </c>
      <c r="F339" s="23">
        <v>8</v>
      </c>
      <c r="G339" s="23">
        <v>4</v>
      </c>
      <c r="H339" s="23">
        <v>3</v>
      </c>
      <c r="I339" s="23">
        <v>9</v>
      </c>
      <c r="J339" s="23">
        <v>8</v>
      </c>
      <c r="K339" s="23">
        <v>11</v>
      </c>
      <c r="L339" s="23">
        <v>5</v>
      </c>
      <c r="M339" s="23">
        <v>8</v>
      </c>
      <c r="N339" s="23">
        <v>13</v>
      </c>
      <c r="O339" s="23">
        <v>6</v>
      </c>
      <c r="P339" s="28">
        <v>9</v>
      </c>
    </row>
    <row r="340" spans="1:16" x14ac:dyDescent="0.25">
      <c r="A340" s="27">
        <v>44895</v>
      </c>
      <c r="B340" s="23">
        <v>59</v>
      </c>
      <c r="C340" s="23">
        <v>50</v>
      </c>
      <c r="D340" s="23">
        <v>48</v>
      </c>
      <c r="E340" s="23">
        <v>2</v>
      </c>
      <c r="F340" s="23">
        <v>8</v>
      </c>
      <c r="G340" s="23">
        <v>1</v>
      </c>
      <c r="H340" s="23">
        <v>2</v>
      </c>
      <c r="I340" s="23">
        <v>6</v>
      </c>
      <c r="J340" s="23">
        <v>6</v>
      </c>
      <c r="K340" s="23">
        <v>3</v>
      </c>
      <c r="L340" s="23">
        <v>2</v>
      </c>
      <c r="M340" s="23">
        <v>8</v>
      </c>
      <c r="N340" s="23">
        <v>4</v>
      </c>
      <c r="O340" s="23">
        <v>10</v>
      </c>
      <c r="P340" s="28">
        <v>7</v>
      </c>
    </row>
    <row r="341" spans="1:16" x14ac:dyDescent="0.25">
      <c r="A341" s="27">
        <v>44896</v>
      </c>
      <c r="B341" s="23">
        <v>66</v>
      </c>
      <c r="C341" s="23">
        <v>53</v>
      </c>
      <c r="D341" s="23">
        <v>48</v>
      </c>
      <c r="E341" s="23">
        <v>5</v>
      </c>
      <c r="F341" s="23">
        <v>9</v>
      </c>
      <c r="G341" s="23">
        <v>4</v>
      </c>
      <c r="H341" s="23">
        <v>2</v>
      </c>
      <c r="I341" s="23">
        <v>4</v>
      </c>
      <c r="J341" s="23">
        <v>6</v>
      </c>
      <c r="K341" s="23">
        <v>11</v>
      </c>
      <c r="L341" s="23">
        <v>1</v>
      </c>
      <c r="M341" s="23">
        <v>4</v>
      </c>
      <c r="N341" s="23">
        <v>7</v>
      </c>
      <c r="O341" s="23">
        <v>5</v>
      </c>
      <c r="P341" s="28">
        <v>8</v>
      </c>
    </row>
    <row r="342" spans="1:16" x14ac:dyDescent="0.25">
      <c r="A342" s="27">
        <v>44897</v>
      </c>
      <c r="B342" s="23">
        <v>72</v>
      </c>
      <c r="C342" s="23">
        <v>60</v>
      </c>
      <c r="D342" s="23">
        <v>54</v>
      </c>
      <c r="E342" s="23">
        <v>6</v>
      </c>
      <c r="F342" s="23">
        <v>10</v>
      </c>
      <c r="G342" s="23">
        <v>2</v>
      </c>
      <c r="H342" s="23">
        <v>2</v>
      </c>
      <c r="I342" s="23">
        <v>12</v>
      </c>
      <c r="J342" s="23">
        <v>2</v>
      </c>
      <c r="K342" s="23">
        <v>6</v>
      </c>
      <c r="L342" s="23">
        <v>7</v>
      </c>
      <c r="M342" s="23">
        <v>7</v>
      </c>
      <c r="N342" s="23">
        <v>11</v>
      </c>
      <c r="O342" s="23">
        <v>5</v>
      </c>
      <c r="P342" s="28">
        <v>2</v>
      </c>
    </row>
    <row r="343" spans="1:16" x14ac:dyDescent="0.25">
      <c r="A343" s="27">
        <v>44898</v>
      </c>
      <c r="B343" s="23">
        <v>7</v>
      </c>
      <c r="C343" s="23">
        <v>7</v>
      </c>
      <c r="D343" s="23">
        <v>7</v>
      </c>
      <c r="E343" s="23">
        <v>0</v>
      </c>
      <c r="F343" s="23">
        <v>0</v>
      </c>
      <c r="G343" s="23">
        <v>0</v>
      </c>
      <c r="H343" s="23">
        <v>1</v>
      </c>
      <c r="I343" s="23">
        <v>0</v>
      </c>
      <c r="J343" s="23">
        <v>2</v>
      </c>
      <c r="K343" s="23">
        <v>0</v>
      </c>
      <c r="L343" s="23">
        <v>0</v>
      </c>
      <c r="M343" s="23">
        <v>2</v>
      </c>
      <c r="N343" s="23">
        <v>2</v>
      </c>
      <c r="O343" s="23">
        <v>0</v>
      </c>
      <c r="P343" s="28">
        <v>0</v>
      </c>
    </row>
    <row r="344" spans="1:16" x14ac:dyDescent="0.25">
      <c r="A344" s="27">
        <v>44899</v>
      </c>
      <c r="B344" s="23">
        <v>1</v>
      </c>
      <c r="C344" s="23">
        <v>1</v>
      </c>
      <c r="D344" s="23">
        <v>1</v>
      </c>
      <c r="E344" s="23">
        <v>0</v>
      </c>
      <c r="F344" s="23">
        <v>0</v>
      </c>
      <c r="G344" s="23">
        <v>0</v>
      </c>
      <c r="H344" s="23">
        <v>0</v>
      </c>
      <c r="I344" s="23">
        <v>0</v>
      </c>
      <c r="J344" s="23">
        <v>0</v>
      </c>
      <c r="K344" s="23">
        <v>0</v>
      </c>
      <c r="L344" s="23">
        <v>0</v>
      </c>
      <c r="M344" s="23">
        <v>0</v>
      </c>
      <c r="N344" s="23">
        <v>1</v>
      </c>
      <c r="O344" s="23">
        <v>0</v>
      </c>
      <c r="P344" s="28">
        <v>0</v>
      </c>
    </row>
    <row r="345" spans="1:16" x14ac:dyDescent="0.25">
      <c r="A345" s="27">
        <v>44900</v>
      </c>
      <c r="B345" s="23">
        <v>85</v>
      </c>
      <c r="C345" s="23">
        <v>72</v>
      </c>
      <c r="D345" s="23">
        <v>65</v>
      </c>
      <c r="E345" s="23">
        <v>7</v>
      </c>
      <c r="F345" s="23">
        <v>9</v>
      </c>
      <c r="G345" s="23">
        <v>4</v>
      </c>
      <c r="H345" s="23">
        <v>2</v>
      </c>
      <c r="I345" s="23">
        <v>6</v>
      </c>
      <c r="J345" s="23">
        <v>8</v>
      </c>
      <c r="K345" s="23">
        <v>9</v>
      </c>
      <c r="L345" s="23">
        <v>6</v>
      </c>
      <c r="M345" s="23">
        <v>8</v>
      </c>
      <c r="N345" s="23">
        <v>8</v>
      </c>
      <c r="O345" s="23">
        <v>10</v>
      </c>
      <c r="P345" s="28">
        <v>8</v>
      </c>
    </row>
    <row r="346" spans="1:16" x14ac:dyDescent="0.25">
      <c r="A346" s="27">
        <v>44901</v>
      </c>
      <c r="B346" s="23">
        <v>72</v>
      </c>
      <c r="C346" s="23">
        <v>56</v>
      </c>
      <c r="D346" s="23">
        <v>52</v>
      </c>
      <c r="E346" s="23">
        <v>4</v>
      </c>
      <c r="F346" s="23">
        <v>13</v>
      </c>
      <c r="G346" s="23">
        <v>3</v>
      </c>
      <c r="H346" s="23">
        <v>4</v>
      </c>
      <c r="I346" s="23">
        <v>7</v>
      </c>
      <c r="J346" s="23">
        <v>2</v>
      </c>
      <c r="K346" s="23">
        <v>3</v>
      </c>
      <c r="L346" s="23">
        <v>6</v>
      </c>
      <c r="M346" s="23">
        <v>5</v>
      </c>
      <c r="N346" s="23">
        <v>8</v>
      </c>
      <c r="O346" s="23">
        <v>11</v>
      </c>
      <c r="P346" s="28">
        <v>6</v>
      </c>
    </row>
    <row r="347" spans="1:16" x14ac:dyDescent="0.25">
      <c r="A347" s="27">
        <v>44902</v>
      </c>
      <c r="B347" s="23">
        <v>81</v>
      </c>
      <c r="C347" s="23">
        <v>72</v>
      </c>
      <c r="D347" s="23">
        <v>67</v>
      </c>
      <c r="E347" s="23">
        <v>5</v>
      </c>
      <c r="F347" s="23">
        <v>7</v>
      </c>
      <c r="G347" s="23">
        <v>2</v>
      </c>
      <c r="H347" s="23">
        <v>2</v>
      </c>
      <c r="I347" s="23">
        <v>10</v>
      </c>
      <c r="J347" s="23">
        <v>5</v>
      </c>
      <c r="K347" s="23">
        <v>7</v>
      </c>
      <c r="L347" s="23">
        <v>8</v>
      </c>
      <c r="M347" s="23">
        <v>5</v>
      </c>
      <c r="N347" s="23">
        <v>13</v>
      </c>
      <c r="O347" s="23">
        <v>11</v>
      </c>
      <c r="P347" s="28">
        <v>6</v>
      </c>
    </row>
    <row r="348" spans="1:16" x14ac:dyDescent="0.25">
      <c r="A348" s="27">
        <v>44903</v>
      </c>
      <c r="B348" s="23">
        <v>68</v>
      </c>
      <c r="C348" s="23">
        <v>60</v>
      </c>
      <c r="D348" s="23">
        <v>49</v>
      </c>
      <c r="E348" s="23">
        <v>11</v>
      </c>
      <c r="F348" s="23">
        <v>6</v>
      </c>
      <c r="G348" s="23">
        <v>2</v>
      </c>
      <c r="H348" s="23">
        <v>2</v>
      </c>
      <c r="I348" s="23">
        <v>10</v>
      </c>
      <c r="J348" s="23">
        <v>4</v>
      </c>
      <c r="K348" s="23">
        <v>6</v>
      </c>
      <c r="L348" s="23">
        <v>6</v>
      </c>
      <c r="M348" s="23">
        <v>7</v>
      </c>
      <c r="N348" s="23">
        <v>6</v>
      </c>
      <c r="O348" s="23">
        <v>6</v>
      </c>
      <c r="P348" s="28">
        <v>2</v>
      </c>
    </row>
    <row r="349" spans="1:16" x14ac:dyDescent="0.25">
      <c r="A349" s="27">
        <v>44904</v>
      </c>
      <c r="B349" s="23">
        <v>68</v>
      </c>
      <c r="C349" s="23">
        <v>58</v>
      </c>
      <c r="D349" s="23">
        <v>54</v>
      </c>
      <c r="E349" s="23">
        <v>4</v>
      </c>
      <c r="F349" s="23">
        <v>7</v>
      </c>
      <c r="G349" s="23">
        <v>3</v>
      </c>
      <c r="H349" s="23">
        <v>4</v>
      </c>
      <c r="I349" s="23">
        <v>5</v>
      </c>
      <c r="J349" s="23">
        <v>2</v>
      </c>
      <c r="K349" s="23">
        <v>7</v>
      </c>
      <c r="L349" s="23">
        <v>9</v>
      </c>
      <c r="M349" s="23">
        <v>6</v>
      </c>
      <c r="N349" s="23">
        <v>9</v>
      </c>
      <c r="O349" s="23">
        <v>10</v>
      </c>
      <c r="P349" s="28">
        <v>2</v>
      </c>
    </row>
    <row r="350" spans="1:16" x14ac:dyDescent="0.25">
      <c r="A350" s="27">
        <v>44905</v>
      </c>
      <c r="B350" s="23">
        <v>2</v>
      </c>
      <c r="C350" s="23">
        <v>2</v>
      </c>
      <c r="D350" s="23">
        <v>1</v>
      </c>
      <c r="E350" s="23">
        <v>1</v>
      </c>
      <c r="F350" s="23">
        <v>0</v>
      </c>
      <c r="G350" s="23">
        <v>0</v>
      </c>
      <c r="H350" s="23">
        <v>0</v>
      </c>
      <c r="I350" s="23">
        <v>1</v>
      </c>
      <c r="J350" s="23">
        <v>0</v>
      </c>
      <c r="K350" s="23">
        <v>0</v>
      </c>
      <c r="L350" s="23">
        <v>0</v>
      </c>
      <c r="M350" s="23">
        <v>0</v>
      </c>
      <c r="N350" s="23">
        <v>0</v>
      </c>
      <c r="O350" s="23">
        <v>0</v>
      </c>
      <c r="P350" s="28">
        <v>0</v>
      </c>
    </row>
    <row r="351" spans="1:16" x14ac:dyDescent="0.25">
      <c r="A351" s="27">
        <v>44906</v>
      </c>
      <c r="B351" s="23">
        <v>0</v>
      </c>
      <c r="C351" s="23">
        <v>0</v>
      </c>
      <c r="D351" s="23">
        <v>0</v>
      </c>
      <c r="E351" s="23">
        <v>0</v>
      </c>
      <c r="F351" s="23">
        <v>0</v>
      </c>
      <c r="G351" s="23">
        <v>0</v>
      </c>
      <c r="H351" s="23">
        <v>0</v>
      </c>
      <c r="I351" s="23">
        <v>0</v>
      </c>
      <c r="J351" s="23">
        <v>0</v>
      </c>
      <c r="K351" s="23">
        <v>0</v>
      </c>
      <c r="L351" s="23">
        <v>0</v>
      </c>
      <c r="M351" s="23">
        <v>0</v>
      </c>
      <c r="N351" s="23">
        <v>0</v>
      </c>
      <c r="O351" s="23">
        <v>0</v>
      </c>
      <c r="P351" s="28">
        <v>0</v>
      </c>
    </row>
    <row r="352" spans="1:16" x14ac:dyDescent="0.25">
      <c r="A352" s="27">
        <v>44907</v>
      </c>
      <c r="B352" s="23">
        <v>84</v>
      </c>
      <c r="C352" s="23">
        <v>71</v>
      </c>
      <c r="D352" s="23">
        <v>68</v>
      </c>
      <c r="E352" s="23">
        <v>3</v>
      </c>
      <c r="F352" s="23">
        <v>10</v>
      </c>
      <c r="G352" s="23">
        <v>3</v>
      </c>
      <c r="H352" s="23">
        <v>2</v>
      </c>
      <c r="I352" s="23">
        <v>8</v>
      </c>
      <c r="J352" s="23">
        <v>8</v>
      </c>
      <c r="K352" s="23">
        <v>7</v>
      </c>
      <c r="L352" s="23">
        <v>9</v>
      </c>
      <c r="M352" s="23">
        <v>11</v>
      </c>
      <c r="N352" s="23">
        <v>11</v>
      </c>
      <c r="O352" s="23">
        <v>6</v>
      </c>
      <c r="P352" s="28">
        <v>6</v>
      </c>
    </row>
    <row r="353" spans="1:16" x14ac:dyDescent="0.25">
      <c r="A353" s="27">
        <v>44908</v>
      </c>
      <c r="B353" s="23">
        <v>102</v>
      </c>
      <c r="C353" s="23">
        <v>92</v>
      </c>
      <c r="D353" s="23">
        <v>88</v>
      </c>
      <c r="E353" s="23">
        <v>4</v>
      </c>
      <c r="F353" s="23">
        <v>8</v>
      </c>
      <c r="G353" s="23">
        <v>2</v>
      </c>
      <c r="H353" s="23">
        <v>4</v>
      </c>
      <c r="I353" s="23">
        <v>12</v>
      </c>
      <c r="J353" s="23">
        <v>9</v>
      </c>
      <c r="K353" s="23">
        <v>13</v>
      </c>
      <c r="L353" s="23">
        <v>6</v>
      </c>
      <c r="M353" s="23">
        <v>11</v>
      </c>
      <c r="N353" s="23">
        <v>9</v>
      </c>
      <c r="O353" s="23">
        <v>9</v>
      </c>
      <c r="P353" s="28">
        <v>15</v>
      </c>
    </row>
    <row r="354" spans="1:16" x14ac:dyDescent="0.25">
      <c r="A354" s="27">
        <v>44909</v>
      </c>
      <c r="B354" s="23">
        <v>72</v>
      </c>
      <c r="C354" s="23">
        <v>70</v>
      </c>
      <c r="D354" s="23">
        <v>65</v>
      </c>
      <c r="E354" s="23">
        <v>5</v>
      </c>
      <c r="F354" s="23">
        <v>2</v>
      </c>
      <c r="G354" s="23">
        <v>0</v>
      </c>
      <c r="H354" s="23">
        <v>1</v>
      </c>
      <c r="I354" s="23">
        <v>9</v>
      </c>
      <c r="J354" s="23">
        <v>9</v>
      </c>
      <c r="K354" s="23">
        <v>6</v>
      </c>
      <c r="L354" s="23">
        <v>6</v>
      </c>
      <c r="M354" s="23">
        <v>7</v>
      </c>
      <c r="N354" s="23">
        <v>10</v>
      </c>
      <c r="O354" s="23">
        <v>10</v>
      </c>
      <c r="P354" s="28">
        <v>7</v>
      </c>
    </row>
    <row r="355" spans="1:16" x14ac:dyDescent="0.25">
      <c r="A355" s="27">
        <v>44910</v>
      </c>
      <c r="B355" s="23">
        <v>85</v>
      </c>
      <c r="C355" s="23">
        <v>72</v>
      </c>
      <c r="D355" s="23">
        <v>66</v>
      </c>
      <c r="E355" s="23">
        <v>6</v>
      </c>
      <c r="F355" s="23">
        <v>11</v>
      </c>
      <c r="G355" s="23">
        <v>2</v>
      </c>
      <c r="H355" s="23">
        <v>4</v>
      </c>
      <c r="I355" s="23">
        <v>9</v>
      </c>
      <c r="J355" s="23">
        <v>4</v>
      </c>
      <c r="K355" s="23">
        <v>5</v>
      </c>
      <c r="L355" s="23">
        <v>9</v>
      </c>
      <c r="M355" s="23">
        <v>6</v>
      </c>
      <c r="N355" s="23">
        <v>11</v>
      </c>
      <c r="O355" s="23">
        <v>11</v>
      </c>
      <c r="P355" s="28">
        <v>7</v>
      </c>
    </row>
    <row r="356" spans="1:16" x14ac:dyDescent="0.25">
      <c r="A356" s="27">
        <v>44911</v>
      </c>
      <c r="B356" s="23">
        <v>91</v>
      </c>
      <c r="C356" s="23">
        <v>83</v>
      </c>
      <c r="D356" s="23">
        <v>76</v>
      </c>
      <c r="E356" s="23">
        <v>7</v>
      </c>
      <c r="F356" s="23">
        <v>8</v>
      </c>
      <c r="G356" s="23">
        <v>0</v>
      </c>
      <c r="H356" s="23">
        <v>4</v>
      </c>
      <c r="I356" s="23">
        <v>13</v>
      </c>
      <c r="J356" s="23">
        <v>5</v>
      </c>
      <c r="K356" s="23">
        <v>6</v>
      </c>
      <c r="L356" s="23">
        <v>6</v>
      </c>
      <c r="M356" s="23">
        <v>9</v>
      </c>
      <c r="N356" s="23">
        <v>12</v>
      </c>
      <c r="O356" s="23">
        <v>15</v>
      </c>
      <c r="P356" s="28">
        <v>6</v>
      </c>
    </row>
    <row r="357" spans="1:16" x14ac:dyDescent="0.25">
      <c r="A357" s="27">
        <v>44912</v>
      </c>
      <c r="B357" s="23">
        <v>4</v>
      </c>
      <c r="C357" s="23">
        <v>4</v>
      </c>
      <c r="D357" s="23">
        <v>4</v>
      </c>
      <c r="E357" s="23">
        <v>0</v>
      </c>
      <c r="F357" s="23">
        <v>0</v>
      </c>
      <c r="G357" s="23">
        <v>0</v>
      </c>
      <c r="H357" s="23">
        <v>0</v>
      </c>
      <c r="I357" s="23">
        <v>1</v>
      </c>
      <c r="J357" s="23">
        <v>0</v>
      </c>
      <c r="K357" s="23">
        <v>0</v>
      </c>
      <c r="L357" s="23">
        <v>0</v>
      </c>
      <c r="M357" s="23">
        <v>1</v>
      </c>
      <c r="N357" s="23">
        <v>2</v>
      </c>
      <c r="O357" s="23">
        <v>0</v>
      </c>
      <c r="P357" s="28">
        <v>0</v>
      </c>
    </row>
    <row r="358" spans="1:16" x14ac:dyDescent="0.25">
      <c r="A358" s="27">
        <v>44913</v>
      </c>
      <c r="B358" s="23">
        <v>0</v>
      </c>
      <c r="C358" s="23">
        <v>0</v>
      </c>
      <c r="D358" s="23">
        <v>0</v>
      </c>
      <c r="E358" s="23">
        <v>0</v>
      </c>
      <c r="F358" s="23">
        <v>0</v>
      </c>
      <c r="G358" s="23">
        <v>0</v>
      </c>
      <c r="H358" s="23">
        <v>0</v>
      </c>
      <c r="I358" s="23">
        <v>0</v>
      </c>
      <c r="J358" s="23">
        <v>0</v>
      </c>
      <c r="K358" s="23">
        <v>0</v>
      </c>
      <c r="L358" s="23">
        <v>0</v>
      </c>
      <c r="M358" s="23">
        <v>0</v>
      </c>
      <c r="N358" s="23">
        <v>0</v>
      </c>
      <c r="O358" s="23">
        <v>0</v>
      </c>
      <c r="P358" s="28">
        <v>0</v>
      </c>
    </row>
    <row r="359" spans="1:16" x14ac:dyDescent="0.25">
      <c r="A359" s="27">
        <v>44914</v>
      </c>
      <c r="B359" s="23">
        <v>90</v>
      </c>
      <c r="C359" s="23">
        <v>71</v>
      </c>
      <c r="D359" s="23">
        <v>68</v>
      </c>
      <c r="E359" s="23">
        <v>3</v>
      </c>
      <c r="F359" s="23">
        <v>12</v>
      </c>
      <c r="G359" s="23">
        <v>7</v>
      </c>
      <c r="H359" s="23">
        <v>5</v>
      </c>
      <c r="I359" s="23">
        <v>12</v>
      </c>
      <c r="J359" s="23">
        <v>4</v>
      </c>
      <c r="K359" s="23">
        <v>8</v>
      </c>
      <c r="L359" s="23">
        <v>5</v>
      </c>
      <c r="M359" s="23">
        <v>4</v>
      </c>
      <c r="N359" s="23">
        <v>9</v>
      </c>
      <c r="O359" s="23">
        <v>9</v>
      </c>
      <c r="P359" s="28">
        <v>12</v>
      </c>
    </row>
    <row r="360" spans="1:16" x14ac:dyDescent="0.25">
      <c r="A360" s="27">
        <v>44915</v>
      </c>
      <c r="B360" s="23">
        <v>120</v>
      </c>
      <c r="C360" s="23">
        <v>107</v>
      </c>
      <c r="D360" s="23">
        <v>98</v>
      </c>
      <c r="E360" s="23">
        <v>9</v>
      </c>
      <c r="F360" s="23">
        <v>11</v>
      </c>
      <c r="G360" s="23">
        <v>2</v>
      </c>
      <c r="H360" s="23">
        <v>4</v>
      </c>
      <c r="I360" s="23">
        <v>12</v>
      </c>
      <c r="J360" s="23">
        <v>5</v>
      </c>
      <c r="K360" s="23">
        <v>6</v>
      </c>
      <c r="L360" s="23">
        <v>17</v>
      </c>
      <c r="M360" s="23">
        <v>7</v>
      </c>
      <c r="N360" s="23">
        <v>15</v>
      </c>
      <c r="O360" s="23">
        <v>20</v>
      </c>
      <c r="P360" s="28">
        <v>12</v>
      </c>
    </row>
    <row r="361" spans="1:16" x14ac:dyDescent="0.25">
      <c r="A361" s="27">
        <v>44916</v>
      </c>
      <c r="B361" s="23">
        <v>115</v>
      </c>
      <c r="C361" s="23">
        <v>97</v>
      </c>
      <c r="D361" s="23">
        <v>87</v>
      </c>
      <c r="E361" s="23">
        <v>10</v>
      </c>
      <c r="F361" s="23">
        <v>15</v>
      </c>
      <c r="G361" s="23">
        <v>3</v>
      </c>
      <c r="H361" s="23">
        <v>2</v>
      </c>
      <c r="I361" s="23">
        <v>9</v>
      </c>
      <c r="J361" s="23">
        <v>5</v>
      </c>
      <c r="K361" s="23">
        <v>9</v>
      </c>
      <c r="L361" s="23">
        <v>13</v>
      </c>
      <c r="M361" s="23">
        <v>8</v>
      </c>
      <c r="N361" s="23">
        <v>11</v>
      </c>
      <c r="O361" s="23">
        <v>16</v>
      </c>
      <c r="P361" s="28">
        <v>14</v>
      </c>
    </row>
    <row r="362" spans="1:16" x14ac:dyDescent="0.25">
      <c r="A362" s="27">
        <v>44917</v>
      </c>
      <c r="B362" s="23">
        <v>94</v>
      </c>
      <c r="C362" s="23">
        <v>76</v>
      </c>
      <c r="D362" s="23">
        <v>70</v>
      </c>
      <c r="E362" s="23">
        <v>6</v>
      </c>
      <c r="F362" s="23">
        <v>12</v>
      </c>
      <c r="G362" s="23">
        <v>6</v>
      </c>
      <c r="H362" s="23">
        <v>7</v>
      </c>
      <c r="I362" s="23">
        <v>7</v>
      </c>
      <c r="J362" s="23">
        <v>10</v>
      </c>
      <c r="K362" s="23">
        <v>7</v>
      </c>
      <c r="L362" s="23">
        <v>4</v>
      </c>
      <c r="M362" s="23">
        <v>10</v>
      </c>
      <c r="N362" s="23">
        <v>7</v>
      </c>
      <c r="O362" s="23">
        <v>13</v>
      </c>
      <c r="P362" s="28">
        <v>5</v>
      </c>
    </row>
    <row r="363" spans="1:16" x14ac:dyDescent="0.25">
      <c r="A363" s="27">
        <v>44918</v>
      </c>
      <c r="B363" s="23">
        <v>92</v>
      </c>
      <c r="C363" s="23">
        <v>74</v>
      </c>
      <c r="D363" s="23">
        <v>70</v>
      </c>
      <c r="E363" s="23">
        <v>4</v>
      </c>
      <c r="F363" s="23">
        <v>15</v>
      </c>
      <c r="G363" s="23">
        <v>3</v>
      </c>
      <c r="H363" s="23">
        <v>3</v>
      </c>
      <c r="I363" s="23">
        <v>10</v>
      </c>
      <c r="J363" s="23">
        <v>8</v>
      </c>
      <c r="K363" s="23">
        <v>4</v>
      </c>
      <c r="L363" s="23">
        <v>7</v>
      </c>
      <c r="M363" s="23">
        <v>13</v>
      </c>
      <c r="N363" s="23">
        <v>9</v>
      </c>
      <c r="O363" s="23">
        <v>6</v>
      </c>
      <c r="P363" s="28">
        <v>10</v>
      </c>
    </row>
    <row r="364" spans="1:16" x14ac:dyDescent="0.25">
      <c r="A364" s="27">
        <v>44919</v>
      </c>
      <c r="B364" s="23">
        <v>5</v>
      </c>
      <c r="C364" s="23">
        <v>5</v>
      </c>
      <c r="D364" s="23">
        <v>5</v>
      </c>
      <c r="E364" s="23">
        <v>0</v>
      </c>
      <c r="F364" s="23">
        <v>0</v>
      </c>
      <c r="G364" s="23">
        <v>0</v>
      </c>
      <c r="H364" s="23">
        <v>1</v>
      </c>
      <c r="I364" s="23">
        <v>1</v>
      </c>
      <c r="J364" s="23">
        <v>0</v>
      </c>
      <c r="K364" s="23">
        <v>1</v>
      </c>
      <c r="L364" s="23">
        <v>0</v>
      </c>
      <c r="M364" s="23">
        <v>1</v>
      </c>
      <c r="N364" s="23">
        <v>1</v>
      </c>
      <c r="O364" s="23">
        <v>0</v>
      </c>
      <c r="P364" s="28">
        <v>0</v>
      </c>
    </row>
    <row r="365" spans="1:16" x14ac:dyDescent="0.25">
      <c r="A365" s="27">
        <v>44921</v>
      </c>
      <c r="B365" s="23">
        <v>1</v>
      </c>
      <c r="C365" s="23">
        <v>1</v>
      </c>
      <c r="D365" s="23">
        <v>1</v>
      </c>
      <c r="E365" s="23">
        <v>0</v>
      </c>
      <c r="F365" s="23">
        <v>0</v>
      </c>
      <c r="G365" s="23">
        <v>0</v>
      </c>
      <c r="H365" s="23">
        <v>0</v>
      </c>
      <c r="I365" s="23">
        <v>0</v>
      </c>
      <c r="J365" s="23">
        <v>0</v>
      </c>
      <c r="K365" s="23">
        <v>0</v>
      </c>
      <c r="L365" s="23">
        <v>0</v>
      </c>
      <c r="M365" s="23">
        <v>0</v>
      </c>
      <c r="N365" s="23">
        <v>1</v>
      </c>
      <c r="O365" s="23">
        <v>0</v>
      </c>
      <c r="P365" s="28">
        <v>0</v>
      </c>
    </row>
    <row r="366" spans="1:16" x14ac:dyDescent="0.25">
      <c r="A366" s="27">
        <v>44922</v>
      </c>
      <c r="B366" s="23">
        <v>2</v>
      </c>
      <c r="C366" s="23">
        <v>0</v>
      </c>
      <c r="D366" s="23">
        <v>0</v>
      </c>
      <c r="E366" s="23">
        <v>0</v>
      </c>
      <c r="F366" s="23">
        <v>1</v>
      </c>
      <c r="G366" s="23">
        <v>1</v>
      </c>
      <c r="H366" s="23">
        <v>0</v>
      </c>
      <c r="I366" s="23">
        <v>0</v>
      </c>
      <c r="J366" s="23">
        <v>0</v>
      </c>
      <c r="K366" s="23">
        <v>0</v>
      </c>
      <c r="L366" s="23">
        <v>0</v>
      </c>
      <c r="M366" s="23">
        <v>0</v>
      </c>
      <c r="N366" s="23">
        <v>0</v>
      </c>
      <c r="O366" s="23">
        <v>0</v>
      </c>
      <c r="P366" s="28">
        <v>0</v>
      </c>
    </row>
    <row r="367" spans="1:16" x14ac:dyDescent="0.25">
      <c r="A367" s="27">
        <v>44923</v>
      </c>
      <c r="B367" s="23">
        <v>120</v>
      </c>
      <c r="C367" s="23">
        <v>99</v>
      </c>
      <c r="D367" s="23">
        <v>94</v>
      </c>
      <c r="E367" s="23">
        <v>4</v>
      </c>
      <c r="F367" s="23">
        <v>17</v>
      </c>
      <c r="G367" s="23">
        <v>4</v>
      </c>
      <c r="H367" s="23">
        <v>2</v>
      </c>
      <c r="I367" s="23">
        <v>16</v>
      </c>
      <c r="J367" s="23">
        <v>13</v>
      </c>
      <c r="K367" s="23">
        <v>4</v>
      </c>
      <c r="L367" s="23">
        <v>6</v>
      </c>
      <c r="M367" s="23">
        <v>9</v>
      </c>
      <c r="N367" s="23">
        <v>12</v>
      </c>
      <c r="O367" s="23">
        <v>22</v>
      </c>
      <c r="P367" s="28">
        <v>10</v>
      </c>
    </row>
    <row r="368" spans="1:16" x14ac:dyDescent="0.25">
      <c r="A368" s="27">
        <v>44924</v>
      </c>
      <c r="B368" s="23">
        <v>157</v>
      </c>
      <c r="C368" s="23">
        <v>135</v>
      </c>
      <c r="D368" s="23">
        <v>123</v>
      </c>
      <c r="E368" s="23">
        <v>12</v>
      </c>
      <c r="F368" s="23">
        <v>20</v>
      </c>
      <c r="G368" s="23">
        <v>2</v>
      </c>
      <c r="H368" s="23">
        <v>1</v>
      </c>
      <c r="I368" s="23">
        <v>21</v>
      </c>
      <c r="J368" s="23">
        <v>8</v>
      </c>
      <c r="K368" s="23">
        <v>15</v>
      </c>
      <c r="L368" s="23">
        <v>16</v>
      </c>
      <c r="M368" s="23">
        <v>10</v>
      </c>
      <c r="N368" s="23">
        <v>8</v>
      </c>
      <c r="O368" s="23">
        <v>26</v>
      </c>
      <c r="P368" s="28">
        <v>18</v>
      </c>
    </row>
    <row r="369" spans="1:16" x14ac:dyDescent="0.25">
      <c r="A369" s="27">
        <v>44925</v>
      </c>
      <c r="B369" s="23">
        <v>185</v>
      </c>
      <c r="C369" s="23">
        <v>153</v>
      </c>
      <c r="D369" s="23">
        <v>144</v>
      </c>
      <c r="E369" s="23">
        <v>9</v>
      </c>
      <c r="F369" s="23">
        <v>30</v>
      </c>
      <c r="G369" s="23">
        <v>2</v>
      </c>
      <c r="H369" s="23">
        <v>5</v>
      </c>
      <c r="I369" s="23">
        <v>17</v>
      </c>
      <c r="J369" s="23">
        <v>18</v>
      </c>
      <c r="K369" s="23">
        <v>11</v>
      </c>
      <c r="L369" s="23">
        <v>8</v>
      </c>
      <c r="M369" s="23">
        <v>25</v>
      </c>
      <c r="N369" s="23">
        <v>13</v>
      </c>
      <c r="O369" s="23">
        <v>20</v>
      </c>
      <c r="P369" s="28">
        <v>27</v>
      </c>
    </row>
    <row r="370" spans="1:16" x14ac:dyDescent="0.25">
      <c r="A370" s="27">
        <v>44920</v>
      </c>
      <c r="B370" s="23">
        <v>0</v>
      </c>
      <c r="C370" s="23">
        <v>0</v>
      </c>
      <c r="D370" s="23">
        <v>0</v>
      </c>
      <c r="E370" s="23">
        <v>0</v>
      </c>
      <c r="F370" s="23">
        <v>0</v>
      </c>
      <c r="G370" s="23">
        <v>0</v>
      </c>
      <c r="H370" s="23">
        <v>0</v>
      </c>
      <c r="I370" s="23">
        <v>0</v>
      </c>
      <c r="J370" s="23">
        <v>0</v>
      </c>
      <c r="K370" s="23">
        <v>0</v>
      </c>
      <c r="L370" s="23">
        <v>0</v>
      </c>
      <c r="M370" s="23">
        <v>0</v>
      </c>
      <c r="N370" s="23">
        <v>0</v>
      </c>
      <c r="O370" s="23">
        <v>0</v>
      </c>
      <c r="P370" s="28">
        <v>0</v>
      </c>
    </row>
    <row r="371" spans="1:16" x14ac:dyDescent="0.25">
      <c r="A371" s="27">
        <v>44926</v>
      </c>
      <c r="B371" s="23">
        <v>9</v>
      </c>
      <c r="C371" s="23">
        <v>8</v>
      </c>
      <c r="D371" s="23">
        <v>7</v>
      </c>
      <c r="E371" s="23">
        <v>1</v>
      </c>
      <c r="F371" s="23">
        <v>1</v>
      </c>
      <c r="G371" s="23">
        <v>0</v>
      </c>
      <c r="H371" s="23">
        <v>0</v>
      </c>
      <c r="I371" s="23">
        <v>0</v>
      </c>
      <c r="J371" s="23">
        <v>1</v>
      </c>
      <c r="K371" s="23">
        <v>0</v>
      </c>
      <c r="L371" s="23">
        <v>1</v>
      </c>
      <c r="M371" s="23">
        <v>2</v>
      </c>
      <c r="N371" s="23">
        <v>2</v>
      </c>
      <c r="O371" s="23">
        <v>1</v>
      </c>
      <c r="P371" s="28">
        <v>0</v>
      </c>
    </row>
    <row r="372" spans="1:16" x14ac:dyDescent="0.25">
      <c r="A372" s="27">
        <v>44927</v>
      </c>
      <c r="B372" s="23">
        <v>0</v>
      </c>
      <c r="C372" s="23">
        <v>0</v>
      </c>
      <c r="D372" s="23">
        <v>0</v>
      </c>
      <c r="E372" s="23">
        <v>0</v>
      </c>
      <c r="F372" s="23">
        <v>0</v>
      </c>
      <c r="G372" s="23">
        <v>0</v>
      </c>
      <c r="H372" s="23">
        <v>0</v>
      </c>
      <c r="I372" s="23">
        <v>0</v>
      </c>
      <c r="J372" s="23">
        <v>0</v>
      </c>
      <c r="K372" s="23">
        <v>0</v>
      </c>
      <c r="L372" s="23">
        <v>0</v>
      </c>
      <c r="M372" s="23">
        <v>0</v>
      </c>
      <c r="N372" s="23">
        <v>0</v>
      </c>
      <c r="O372" s="23">
        <v>0</v>
      </c>
      <c r="P372" s="28">
        <v>0</v>
      </c>
    </row>
    <row r="373" spans="1:16" x14ac:dyDescent="0.25">
      <c r="A373" s="27">
        <v>44928</v>
      </c>
      <c r="B373" s="23">
        <v>2</v>
      </c>
      <c r="C373" s="23">
        <v>1</v>
      </c>
      <c r="D373" s="23">
        <v>0</v>
      </c>
      <c r="E373" s="23">
        <v>1</v>
      </c>
      <c r="F373" s="23">
        <v>0</v>
      </c>
      <c r="G373" s="23">
        <v>1</v>
      </c>
      <c r="H373" s="23">
        <v>0</v>
      </c>
      <c r="I373" s="23">
        <v>0</v>
      </c>
      <c r="J373" s="23">
        <v>0</v>
      </c>
      <c r="K373" s="23">
        <v>0</v>
      </c>
      <c r="L373" s="23">
        <v>0</v>
      </c>
      <c r="M373" s="23">
        <v>0</v>
      </c>
      <c r="N373" s="23">
        <v>0</v>
      </c>
      <c r="O373" s="23">
        <v>0</v>
      </c>
      <c r="P373" s="28">
        <v>0</v>
      </c>
    </row>
    <row r="374" spans="1:16" x14ac:dyDescent="0.25">
      <c r="A374" s="27">
        <v>44929</v>
      </c>
      <c r="B374" s="23">
        <v>171</v>
      </c>
      <c r="C374" s="23">
        <v>166</v>
      </c>
      <c r="D374" s="23">
        <v>152</v>
      </c>
      <c r="E374" s="23">
        <v>13</v>
      </c>
      <c r="F374" s="23">
        <v>1</v>
      </c>
      <c r="G374" s="23">
        <v>4</v>
      </c>
      <c r="H374" s="23">
        <v>11</v>
      </c>
      <c r="I374" s="23">
        <v>20</v>
      </c>
      <c r="J374" s="23">
        <v>15</v>
      </c>
      <c r="K374" s="23">
        <v>15</v>
      </c>
      <c r="L374" s="23">
        <v>11</v>
      </c>
      <c r="M374" s="23">
        <v>17</v>
      </c>
      <c r="N374" s="23">
        <v>16</v>
      </c>
      <c r="O374" s="23">
        <v>27</v>
      </c>
      <c r="P374" s="28">
        <v>20</v>
      </c>
    </row>
    <row r="375" spans="1:16" x14ac:dyDescent="0.25">
      <c r="A375" s="27">
        <v>44930</v>
      </c>
      <c r="B375" s="23">
        <v>204</v>
      </c>
      <c r="C375" s="23">
        <v>168</v>
      </c>
      <c r="D375" s="23">
        <v>156</v>
      </c>
      <c r="E375" s="23">
        <v>12</v>
      </c>
      <c r="F375" s="23">
        <v>29</v>
      </c>
      <c r="G375" s="23">
        <v>7</v>
      </c>
      <c r="H375" s="23">
        <v>7</v>
      </c>
      <c r="I375" s="23">
        <v>17</v>
      </c>
      <c r="J375" s="23">
        <v>13</v>
      </c>
      <c r="K375" s="23">
        <v>19</v>
      </c>
      <c r="L375" s="23">
        <v>12</v>
      </c>
      <c r="M375" s="23">
        <v>28</v>
      </c>
      <c r="N375" s="23">
        <v>16</v>
      </c>
      <c r="O375" s="23">
        <v>24</v>
      </c>
      <c r="P375" s="28">
        <v>20</v>
      </c>
    </row>
    <row r="376" spans="1:16" x14ac:dyDescent="0.25">
      <c r="A376" s="27">
        <v>44931</v>
      </c>
      <c r="B376" s="23">
        <v>221</v>
      </c>
      <c r="C376" s="23">
        <v>189</v>
      </c>
      <c r="D376" s="23">
        <v>177</v>
      </c>
      <c r="E376" s="23">
        <v>12</v>
      </c>
      <c r="F376" s="23">
        <v>28</v>
      </c>
      <c r="G376" s="23">
        <v>4</v>
      </c>
      <c r="H376" s="23">
        <v>7</v>
      </c>
      <c r="I376" s="23">
        <v>26</v>
      </c>
      <c r="J376" s="23">
        <v>11</v>
      </c>
      <c r="K376" s="23">
        <v>13</v>
      </c>
      <c r="L376" s="23">
        <v>15</v>
      </c>
      <c r="M376" s="23">
        <v>23</v>
      </c>
      <c r="N376" s="23">
        <v>24</v>
      </c>
      <c r="O376" s="23">
        <v>36</v>
      </c>
      <c r="P376" s="28">
        <v>22</v>
      </c>
    </row>
    <row r="377" spans="1:16" x14ac:dyDescent="0.25">
      <c r="A377" s="27">
        <v>44932</v>
      </c>
      <c r="B377" s="23">
        <v>234</v>
      </c>
      <c r="C377" s="23">
        <v>207</v>
      </c>
      <c r="D377" s="23">
        <v>187</v>
      </c>
      <c r="E377" s="23">
        <v>18</v>
      </c>
      <c r="F377" s="23">
        <v>24</v>
      </c>
      <c r="G377" s="23">
        <v>3</v>
      </c>
      <c r="H377" s="23">
        <v>12</v>
      </c>
      <c r="I377" s="23">
        <v>18</v>
      </c>
      <c r="J377" s="23">
        <v>18</v>
      </c>
      <c r="K377" s="23">
        <v>21</v>
      </c>
      <c r="L377" s="23">
        <v>24</v>
      </c>
      <c r="M377" s="23">
        <v>24</v>
      </c>
      <c r="N377" s="23">
        <v>26</v>
      </c>
      <c r="O377" s="23">
        <v>27</v>
      </c>
      <c r="P377" s="28">
        <v>17</v>
      </c>
    </row>
    <row r="378" spans="1:16" x14ac:dyDescent="0.25">
      <c r="A378" s="27">
        <v>44933</v>
      </c>
      <c r="B378" s="23">
        <v>17</v>
      </c>
      <c r="C378" s="23">
        <v>15</v>
      </c>
      <c r="D378" s="23">
        <v>15</v>
      </c>
      <c r="E378" s="23">
        <v>0</v>
      </c>
      <c r="F378" s="23">
        <v>2</v>
      </c>
      <c r="G378" s="23">
        <v>0</v>
      </c>
      <c r="H378" s="23">
        <v>0</v>
      </c>
      <c r="I378" s="23">
        <v>7</v>
      </c>
      <c r="J378" s="23">
        <v>1</v>
      </c>
      <c r="K378" s="23">
        <v>0</v>
      </c>
      <c r="L378" s="23">
        <v>1</v>
      </c>
      <c r="M378" s="23">
        <v>2</v>
      </c>
      <c r="N378" s="23">
        <v>4</v>
      </c>
      <c r="O378" s="23">
        <v>0</v>
      </c>
      <c r="P378" s="28">
        <v>0</v>
      </c>
    </row>
    <row r="379" spans="1:16" x14ac:dyDescent="0.25">
      <c r="A379" s="27">
        <v>44934</v>
      </c>
      <c r="B379" s="23">
        <v>0</v>
      </c>
      <c r="C379" s="23">
        <v>0</v>
      </c>
      <c r="D379" s="23">
        <v>0</v>
      </c>
      <c r="E379" s="23">
        <v>0</v>
      </c>
      <c r="F379" s="23">
        <v>0</v>
      </c>
      <c r="G379" s="23">
        <v>0</v>
      </c>
      <c r="H379" s="23">
        <v>0</v>
      </c>
      <c r="I379" s="23">
        <v>0</v>
      </c>
      <c r="J379" s="23">
        <v>0</v>
      </c>
      <c r="K379" s="23">
        <v>0</v>
      </c>
      <c r="L379" s="23">
        <v>0</v>
      </c>
      <c r="M379" s="23">
        <v>0</v>
      </c>
      <c r="N379" s="23">
        <v>0</v>
      </c>
      <c r="O379" s="23">
        <v>0</v>
      </c>
      <c r="P379" s="28">
        <v>0</v>
      </c>
    </row>
    <row r="380" spans="1:16" x14ac:dyDescent="0.25">
      <c r="A380" s="27">
        <v>44935</v>
      </c>
      <c r="B380" s="23">
        <v>189</v>
      </c>
      <c r="C380" s="23">
        <v>156</v>
      </c>
      <c r="D380" s="23">
        <v>143</v>
      </c>
      <c r="E380" s="23">
        <v>13</v>
      </c>
      <c r="F380" s="23">
        <v>22</v>
      </c>
      <c r="G380" s="23">
        <v>11</v>
      </c>
      <c r="H380" s="23">
        <v>4</v>
      </c>
      <c r="I380" s="23">
        <v>15</v>
      </c>
      <c r="J380" s="23">
        <v>7</v>
      </c>
      <c r="K380" s="23">
        <v>18</v>
      </c>
      <c r="L380" s="23">
        <v>17</v>
      </c>
      <c r="M380" s="23">
        <v>21</v>
      </c>
      <c r="N380" s="23">
        <v>22</v>
      </c>
      <c r="O380" s="23">
        <v>18</v>
      </c>
      <c r="P380" s="28">
        <v>21</v>
      </c>
    </row>
    <row r="381" spans="1:16" x14ac:dyDescent="0.25">
      <c r="A381" s="27">
        <v>44936</v>
      </c>
      <c r="B381" s="23">
        <v>205</v>
      </c>
      <c r="C381" s="23">
        <v>177</v>
      </c>
      <c r="D381" s="23">
        <v>163</v>
      </c>
      <c r="E381" s="23">
        <v>14</v>
      </c>
      <c r="F381" s="23">
        <v>20</v>
      </c>
      <c r="G381" s="23">
        <v>8</v>
      </c>
      <c r="H381" s="23">
        <v>10</v>
      </c>
      <c r="I381" s="23">
        <v>16</v>
      </c>
      <c r="J381" s="23">
        <v>21</v>
      </c>
      <c r="K381" s="23">
        <v>12</v>
      </c>
      <c r="L381" s="23">
        <v>16</v>
      </c>
      <c r="M381" s="23">
        <v>21</v>
      </c>
      <c r="N381" s="23">
        <v>21</v>
      </c>
      <c r="O381" s="23">
        <v>26</v>
      </c>
      <c r="P381" s="28">
        <v>20</v>
      </c>
    </row>
    <row r="382" spans="1:16" x14ac:dyDescent="0.25">
      <c r="A382" s="27">
        <v>44937</v>
      </c>
      <c r="B382" s="23">
        <v>236</v>
      </c>
      <c r="C382" s="23">
        <v>207</v>
      </c>
      <c r="D382" s="23">
        <v>192</v>
      </c>
      <c r="E382" s="23">
        <v>12</v>
      </c>
      <c r="F382" s="23">
        <v>23</v>
      </c>
      <c r="G382" s="23">
        <v>6</v>
      </c>
      <c r="H382" s="23">
        <v>7</v>
      </c>
      <c r="I382" s="23">
        <v>17</v>
      </c>
      <c r="J382" s="23">
        <v>15</v>
      </c>
      <c r="K382" s="23">
        <v>12</v>
      </c>
      <c r="L382" s="23">
        <v>21</v>
      </c>
      <c r="M382" s="23">
        <v>21</v>
      </c>
      <c r="N382" s="23">
        <v>21</v>
      </c>
      <c r="O382" s="23">
        <v>43</v>
      </c>
      <c r="P382" s="28">
        <v>35</v>
      </c>
    </row>
    <row r="383" spans="1:16" x14ac:dyDescent="0.25">
      <c r="A383" s="27">
        <v>44938</v>
      </c>
      <c r="B383" s="23">
        <v>219</v>
      </c>
      <c r="C383" s="23">
        <v>193</v>
      </c>
      <c r="D383" s="23">
        <v>175</v>
      </c>
      <c r="E383" s="23">
        <v>18</v>
      </c>
      <c r="F383" s="23">
        <v>19</v>
      </c>
      <c r="G383" s="23">
        <v>7</v>
      </c>
      <c r="H383" s="23">
        <v>15</v>
      </c>
      <c r="I383" s="23">
        <v>26</v>
      </c>
      <c r="J383" s="23">
        <v>24</v>
      </c>
      <c r="K383" s="23">
        <v>9</v>
      </c>
      <c r="L383" s="23">
        <v>19</v>
      </c>
      <c r="M383" s="23">
        <v>15</v>
      </c>
      <c r="N383" s="23">
        <v>14</v>
      </c>
      <c r="O383" s="23">
        <v>25</v>
      </c>
      <c r="P383" s="28">
        <v>28</v>
      </c>
    </row>
    <row r="384" spans="1:16" x14ac:dyDescent="0.25">
      <c r="A384" s="27">
        <v>44939</v>
      </c>
      <c r="B384" s="23">
        <v>195</v>
      </c>
      <c r="C384" s="23">
        <v>174</v>
      </c>
      <c r="D384" s="23">
        <v>161</v>
      </c>
      <c r="E384" s="23">
        <v>13</v>
      </c>
      <c r="F384" s="23">
        <v>17</v>
      </c>
      <c r="G384" s="23">
        <v>4</v>
      </c>
      <c r="H384" s="23">
        <v>9</v>
      </c>
      <c r="I384" s="23">
        <v>22</v>
      </c>
      <c r="J384" s="23">
        <v>12</v>
      </c>
      <c r="K384" s="23">
        <v>10</v>
      </c>
      <c r="L384" s="23">
        <v>21</v>
      </c>
      <c r="M384" s="23">
        <v>18</v>
      </c>
      <c r="N384" s="23">
        <v>16</v>
      </c>
      <c r="O384" s="23">
        <v>30</v>
      </c>
      <c r="P384" s="28">
        <v>23</v>
      </c>
    </row>
    <row r="385" spans="1:16" x14ac:dyDescent="0.25">
      <c r="A385" s="27">
        <v>44940</v>
      </c>
      <c r="B385" s="23">
        <v>16</v>
      </c>
      <c r="C385" s="23">
        <v>15</v>
      </c>
      <c r="D385" s="23">
        <v>13</v>
      </c>
      <c r="E385" s="23">
        <v>2</v>
      </c>
      <c r="F385" s="23">
        <v>1</v>
      </c>
      <c r="G385" s="23">
        <v>0</v>
      </c>
      <c r="H385" s="23">
        <v>0</v>
      </c>
      <c r="I385" s="23">
        <v>3</v>
      </c>
      <c r="J385" s="23">
        <v>2</v>
      </c>
      <c r="K385" s="23">
        <v>2</v>
      </c>
      <c r="L385" s="23">
        <v>2</v>
      </c>
      <c r="M385" s="23">
        <v>2</v>
      </c>
      <c r="N385" s="23">
        <v>1</v>
      </c>
      <c r="O385" s="23">
        <v>0</v>
      </c>
      <c r="P385" s="28">
        <v>1</v>
      </c>
    </row>
    <row r="386" spans="1:16" x14ac:dyDescent="0.25">
      <c r="A386" s="27">
        <v>44941</v>
      </c>
      <c r="B386" s="23">
        <v>1</v>
      </c>
      <c r="C386" s="23">
        <v>1</v>
      </c>
      <c r="D386" s="23">
        <v>1</v>
      </c>
      <c r="E386" s="23">
        <v>0</v>
      </c>
      <c r="F386" s="23">
        <v>0</v>
      </c>
      <c r="G386" s="23">
        <v>0</v>
      </c>
      <c r="H386" s="23">
        <v>0</v>
      </c>
      <c r="I386" s="23">
        <v>0</v>
      </c>
      <c r="J386" s="23">
        <v>0</v>
      </c>
      <c r="K386" s="23">
        <v>0</v>
      </c>
      <c r="L386" s="23">
        <v>0</v>
      </c>
      <c r="M386" s="23">
        <v>0</v>
      </c>
      <c r="N386" s="23">
        <v>1</v>
      </c>
      <c r="O386" s="23">
        <v>0</v>
      </c>
      <c r="P386" s="28">
        <v>0</v>
      </c>
    </row>
    <row r="387" spans="1:16" x14ac:dyDescent="0.25">
      <c r="A387" s="27">
        <v>44942</v>
      </c>
      <c r="B387" s="23">
        <v>185</v>
      </c>
      <c r="C387" s="23">
        <v>160</v>
      </c>
      <c r="D387" s="23">
        <v>147</v>
      </c>
      <c r="E387" s="23">
        <v>13</v>
      </c>
      <c r="F387" s="23">
        <v>20</v>
      </c>
      <c r="G387" s="23">
        <v>5</v>
      </c>
      <c r="H387" s="23">
        <v>7</v>
      </c>
      <c r="I387" s="23">
        <v>13</v>
      </c>
      <c r="J387" s="23">
        <v>14</v>
      </c>
      <c r="K387" s="23">
        <v>11</v>
      </c>
      <c r="L387" s="23">
        <v>18</v>
      </c>
      <c r="M387" s="23">
        <v>22</v>
      </c>
      <c r="N387" s="23">
        <v>15</v>
      </c>
      <c r="O387" s="23">
        <v>29</v>
      </c>
      <c r="P387" s="28">
        <v>18</v>
      </c>
    </row>
    <row r="388" spans="1:16" x14ac:dyDescent="0.25">
      <c r="A388" s="27">
        <v>44943</v>
      </c>
      <c r="B388" s="23">
        <v>188</v>
      </c>
      <c r="C388" s="23">
        <v>161</v>
      </c>
      <c r="D388" s="23">
        <v>145</v>
      </c>
      <c r="E388" s="23">
        <v>16</v>
      </c>
      <c r="F388" s="23">
        <v>24</v>
      </c>
      <c r="G388" s="23">
        <v>3</v>
      </c>
      <c r="H388" s="23">
        <v>9</v>
      </c>
      <c r="I388" s="23">
        <v>22</v>
      </c>
      <c r="J388" s="23">
        <v>13</v>
      </c>
      <c r="K388" s="23">
        <v>9</v>
      </c>
      <c r="L388" s="23">
        <v>18</v>
      </c>
      <c r="M388" s="23">
        <v>20</v>
      </c>
      <c r="N388" s="23">
        <v>16</v>
      </c>
      <c r="O388" s="23">
        <v>21</v>
      </c>
      <c r="P388" s="28">
        <v>17</v>
      </c>
    </row>
    <row r="389" spans="1:16" x14ac:dyDescent="0.25">
      <c r="A389" s="27">
        <v>44944</v>
      </c>
      <c r="B389" s="23">
        <v>182</v>
      </c>
      <c r="C389" s="23">
        <v>164</v>
      </c>
      <c r="D389" s="23">
        <v>146</v>
      </c>
      <c r="E389" s="23">
        <v>18</v>
      </c>
      <c r="F389" s="23">
        <v>16</v>
      </c>
      <c r="G389" s="23">
        <v>2</v>
      </c>
      <c r="H389" s="23">
        <v>10</v>
      </c>
      <c r="I389" s="23">
        <v>20</v>
      </c>
      <c r="J389" s="23">
        <v>20</v>
      </c>
      <c r="K389" s="23">
        <v>14</v>
      </c>
      <c r="L389" s="23">
        <v>11</v>
      </c>
      <c r="M389" s="23">
        <v>19</v>
      </c>
      <c r="N389" s="23">
        <v>14</v>
      </c>
      <c r="O389" s="23">
        <v>19</v>
      </c>
      <c r="P389" s="28">
        <v>19</v>
      </c>
    </row>
    <row r="390" spans="1:16" x14ac:dyDescent="0.25">
      <c r="A390" s="27">
        <v>44945</v>
      </c>
      <c r="B390" s="23">
        <v>156</v>
      </c>
      <c r="C390" s="23">
        <v>138</v>
      </c>
      <c r="D390" s="23">
        <v>128</v>
      </c>
      <c r="E390" s="23">
        <v>10</v>
      </c>
      <c r="F390" s="23">
        <v>15</v>
      </c>
      <c r="G390" s="23">
        <v>3</v>
      </c>
      <c r="H390" s="23">
        <v>5</v>
      </c>
      <c r="I390" s="23">
        <v>16</v>
      </c>
      <c r="J390" s="23">
        <v>13</v>
      </c>
      <c r="K390" s="23">
        <v>13</v>
      </c>
      <c r="L390" s="23">
        <v>11</v>
      </c>
      <c r="M390" s="23">
        <v>20</v>
      </c>
      <c r="N390" s="23">
        <v>12</v>
      </c>
      <c r="O390" s="23">
        <v>20</v>
      </c>
      <c r="P390" s="28">
        <v>18</v>
      </c>
    </row>
    <row r="391" spans="1:16" x14ac:dyDescent="0.25">
      <c r="A391" s="27">
        <v>44946</v>
      </c>
      <c r="B391" s="23">
        <v>155</v>
      </c>
      <c r="C391" s="23">
        <v>142</v>
      </c>
      <c r="D391" s="23">
        <v>131</v>
      </c>
      <c r="E391" s="23">
        <v>10</v>
      </c>
      <c r="F391" s="23">
        <v>9</v>
      </c>
      <c r="G391" s="23">
        <v>4</v>
      </c>
      <c r="H391" s="23">
        <v>9</v>
      </c>
      <c r="I391" s="23">
        <v>18</v>
      </c>
      <c r="J391" s="23">
        <v>12</v>
      </c>
      <c r="K391" s="23">
        <v>17</v>
      </c>
      <c r="L391" s="23">
        <v>11</v>
      </c>
      <c r="M391" s="23">
        <v>14</v>
      </c>
      <c r="N391" s="23">
        <v>7</v>
      </c>
      <c r="O391" s="23">
        <v>30</v>
      </c>
      <c r="P391" s="28">
        <v>13</v>
      </c>
    </row>
    <row r="392" spans="1:16" x14ac:dyDescent="0.25">
      <c r="A392" s="27">
        <v>44947</v>
      </c>
      <c r="B392" s="23">
        <v>6</v>
      </c>
      <c r="C392" s="23">
        <v>5</v>
      </c>
      <c r="D392" s="23">
        <v>5</v>
      </c>
      <c r="E392" s="23">
        <v>0</v>
      </c>
      <c r="F392" s="23">
        <v>1</v>
      </c>
      <c r="G392" s="23">
        <v>0</v>
      </c>
      <c r="H392" s="23">
        <v>0</v>
      </c>
      <c r="I392" s="23">
        <v>1</v>
      </c>
      <c r="J392" s="23">
        <v>2</v>
      </c>
      <c r="K392" s="23">
        <v>0</v>
      </c>
      <c r="L392" s="23">
        <v>0</v>
      </c>
      <c r="M392" s="23">
        <v>0</v>
      </c>
      <c r="N392" s="23">
        <v>0</v>
      </c>
      <c r="O392" s="23">
        <v>1</v>
      </c>
      <c r="P392" s="28">
        <v>1</v>
      </c>
    </row>
    <row r="393" spans="1:16" x14ac:dyDescent="0.25">
      <c r="A393" s="27">
        <v>44948</v>
      </c>
      <c r="B393" s="23">
        <v>1</v>
      </c>
      <c r="C393" s="23">
        <v>1</v>
      </c>
      <c r="D393" s="23">
        <v>1</v>
      </c>
      <c r="E393" s="23">
        <v>0</v>
      </c>
      <c r="F393" s="23">
        <v>0</v>
      </c>
      <c r="G393" s="23">
        <v>0</v>
      </c>
      <c r="H393" s="23">
        <v>0</v>
      </c>
      <c r="I393" s="23">
        <v>0</v>
      </c>
      <c r="J393" s="23">
        <v>0</v>
      </c>
      <c r="K393" s="23">
        <v>0</v>
      </c>
      <c r="L393" s="23">
        <v>0</v>
      </c>
      <c r="M393" s="23">
        <v>0</v>
      </c>
      <c r="N393" s="23">
        <v>1</v>
      </c>
      <c r="O393" s="23">
        <v>0</v>
      </c>
      <c r="P393" s="28">
        <v>0</v>
      </c>
    </row>
    <row r="394" spans="1:16" x14ac:dyDescent="0.25">
      <c r="A394" s="27">
        <v>44949</v>
      </c>
      <c r="B394" s="23">
        <v>134</v>
      </c>
      <c r="C394" s="23">
        <v>110</v>
      </c>
      <c r="D394" s="23">
        <v>104</v>
      </c>
      <c r="E394" s="23">
        <v>5</v>
      </c>
      <c r="F394" s="23">
        <v>15</v>
      </c>
      <c r="G394" s="23">
        <v>9</v>
      </c>
      <c r="H394" s="23">
        <v>6</v>
      </c>
      <c r="I394" s="23">
        <v>11</v>
      </c>
      <c r="J394" s="23">
        <v>8</v>
      </c>
      <c r="K394" s="23">
        <v>7</v>
      </c>
      <c r="L394" s="23">
        <v>12</v>
      </c>
      <c r="M394" s="23">
        <v>14</v>
      </c>
      <c r="N394" s="23">
        <v>11</v>
      </c>
      <c r="O394" s="23">
        <v>26</v>
      </c>
      <c r="P394" s="28">
        <v>9</v>
      </c>
    </row>
    <row r="395" spans="1:16" x14ac:dyDescent="0.25">
      <c r="A395" s="27">
        <v>44950</v>
      </c>
      <c r="B395" s="23">
        <v>141</v>
      </c>
      <c r="C395" s="23">
        <v>125</v>
      </c>
      <c r="D395" s="23">
        <v>114</v>
      </c>
      <c r="E395" s="23">
        <v>11</v>
      </c>
      <c r="F395" s="23">
        <v>13</v>
      </c>
      <c r="G395" s="23">
        <v>3</v>
      </c>
      <c r="H395" s="23">
        <v>4</v>
      </c>
      <c r="I395" s="23">
        <v>16</v>
      </c>
      <c r="J395" s="23">
        <v>13</v>
      </c>
      <c r="K395" s="23">
        <v>8</v>
      </c>
      <c r="L395" s="23">
        <v>18</v>
      </c>
      <c r="M395" s="23">
        <v>18</v>
      </c>
      <c r="N395" s="23">
        <v>7</v>
      </c>
      <c r="O395" s="23">
        <v>16</v>
      </c>
      <c r="P395" s="28">
        <v>14</v>
      </c>
    </row>
    <row r="396" spans="1:16" x14ac:dyDescent="0.25">
      <c r="A396" s="27">
        <v>44951</v>
      </c>
      <c r="B396" s="23">
        <v>135</v>
      </c>
      <c r="C396" s="23">
        <v>120</v>
      </c>
      <c r="D396" s="23">
        <v>117</v>
      </c>
      <c r="E396" s="23">
        <v>3</v>
      </c>
      <c r="F396" s="23">
        <v>14</v>
      </c>
      <c r="G396" s="23">
        <v>1</v>
      </c>
      <c r="H396" s="23">
        <v>8</v>
      </c>
      <c r="I396" s="23">
        <v>15</v>
      </c>
      <c r="J396" s="23">
        <v>14</v>
      </c>
      <c r="K396" s="23">
        <v>7</v>
      </c>
      <c r="L396" s="23">
        <v>16</v>
      </c>
      <c r="M396" s="23">
        <v>20</v>
      </c>
      <c r="N396" s="23">
        <v>12</v>
      </c>
      <c r="O396" s="23">
        <v>19</v>
      </c>
      <c r="P396" s="28">
        <v>6</v>
      </c>
    </row>
    <row r="397" spans="1:16" x14ac:dyDescent="0.25">
      <c r="A397" s="27">
        <v>44952</v>
      </c>
      <c r="B397" s="23">
        <v>128</v>
      </c>
      <c r="C397" s="23">
        <v>113</v>
      </c>
      <c r="D397" s="23">
        <v>106</v>
      </c>
      <c r="E397" s="23">
        <v>7</v>
      </c>
      <c r="F397" s="23">
        <v>6</v>
      </c>
      <c r="G397" s="23">
        <v>9</v>
      </c>
      <c r="H397" s="23">
        <v>8</v>
      </c>
      <c r="I397" s="23">
        <v>14</v>
      </c>
      <c r="J397" s="23">
        <v>10</v>
      </c>
      <c r="K397" s="23">
        <v>11</v>
      </c>
      <c r="L397" s="23">
        <v>9</v>
      </c>
      <c r="M397" s="23">
        <v>16</v>
      </c>
      <c r="N397" s="23">
        <v>16</v>
      </c>
      <c r="O397" s="23">
        <v>15</v>
      </c>
      <c r="P397" s="28">
        <v>7</v>
      </c>
    </row>
    <row r="398" spans="1:16" x14ac:dyDescent="0.25">
      <c r="A398" s="27">
        <v>44953</v>
      </c>
      <c r="B398" s="23">
        <v>116</v>
      </c>
      <c r="C398" s="23">
        <v>105</v>
      </c>
      <c r="D398" s="23">
        <v>98</v>
      </c>
      <c r="E398" s="23">
        <v>7</v>
      </c>
      <c r="F398" s="23">
        <v>7</v>
      </c>
      <c r="G398" s="23">
        <v>4</v>
      </c>
      <c r="H398" s="23">
        <v>7</v>
      </c>
      <c r="I398" s="23">
        <v>16</v>
      </c>
      <c r="J398" s="23">
        <v>15</v>
      </c>
      <c r="K398" s="23">
        <v>4</v>
      </c>
      <c r="L398" s="23">
        <v>8</v>
      </c>
      <c r="M398" s="23">
        <v>12</v>
      </c>
      <c r="N398" s="23">
        <v>11</v>
      </c>
      <c r="O398" s="23">
        <v>16</v>
      </c>
      <c r="P398" s="28">
        <v>9</v>
      </c>
    </row>
    <row r="399" spans="1:16" x14ac:dyDescent="0.25">
      <c r="A399" s="27">
        <v>44954</v>
      </c>
      <c r="B399" s="23">
        <v>4</v>
      </c>
      <c r="C399" s="23">
        <v>3</v>
      </c>
      <c r="D399" s="23">
        <v>3</v>
      </c>
      <c r="E399" s="23">
        <v>0</v>
      </c>
      <c r="F399" s="23">
        <v>1</v>
      </c>
      <c r="G399" s="23">
        <v>0</v>
      </c>
      <c r="H399" s="23">
        <v>0</v>
      </c>
      <c r="I399" s="23">
        <v>0</v>
      </c>
      <c r="J399" s="23">
        <v>0</v>
      </c>
      <c r="K399" s="23">
        <v>0</v>
      </c>
      <c r="L399" s="23">
        <v>2</v>
      </c>
      <c r="M399" s="23">
        <v>0</v>
      </c>
      <c r="N399" s="23">
        <v>0</v>
      </c>
      <c r="O399" s="23">
        <v>1</v>
      </c>
      <c r="P399" s="28">
        <v>0</v>
      </c>
    </row>
    <row r="400" spans="1:16" x14ac:dyDescent="0.25">
      <c r="A400" s="27">
        <v>44955</v>
      </c>
      <c r="B400" s="23">
        <v>0</v>
      </c>
      <c r="C400" s="23">
        <v>0</v>
      </c>
      <c r="D400" s="23">
        <v>0</v>
      </c>
      <c r="E400" s="23">
        <v>0</v>
      </c>
      <c r="F400" s="23">
        <v>0</v>
      </c>
      <c r="G400" s="23">
        <v>0</v>
      </c>
      <c r="H400" s="23">
        <v>0</v>
      </c>
      <c r="I400" s="23">
        <v>0</v>
      </c>
      <c r="J400" s="23">
        <v>0</v>
      </c>
      <c r="K400" s="23">
        <v>0</v>
      </c>
      <c r="L400" s="23">
        <v>0</v>
      </c>
      <c r="M400" s="23">
        <v>0</v>
      </c>
      <c r="N400" s="23">
        <v>0</v>
      </c>
      <c r="O400" s="23">
        <v>0</v>
      </c>
      <c r="P400" s="28">
        <v>0</v>
      </c>
    </row>
    <row r="401" spans="1:16" x14ac:dyDescent="0.25">
      <c r="A401" s="27">
        <v>44956</v>
      </c>
      <c r="B401" s="23">
        <v>105</v>
      </c>
      <c r="C401" s="23">
        <v>97</v>
      </c>
      <c r="D401" s="23">
        <v>95</v>
      </c>
      <c r="E401" s="23">
        <v>2</v>
      </c>
      <c r="F401" s="23">
        <v>4</v>
      </c>
      <c r="G401" s="23">
        <v>4</v>
      </c>
      <c r="H401" s="23">
        <v>2</v>
      </c>
      <c r="I401" s="23">
        <v>10</v>
      </c>
      <c r="J401" s="23">
        <v>14</v>
      </c>
      <c r="K401" s="23">
        <v>13</v>
      </c>
      <c r="L401" s="23">
        <v>15</v>
      </c>
      <c r="M401" s="23">
        <v>11</v>
      </c>
      <c r="N401" s="23">
        <v>4</v>
      </c>
      <c r="O401" s="23">
        <v>24</v>
      </c>
      <c r="P401" s="28">
        <v>2</v>
      </c>
    </row>
    <row r="402" spans="1:16" x14ac:dyDescent="0.25">
      <c r="A402" s="27">
        <v>44957</v>
      </c>
      <c r="B402" s="23">
        <v>112</v>
      </c>
      <c r="C402" s="23">
        <v>97</v>
      </c>
      <c r="D402" s="23">
        <v>92</v>
      </c>
      <c r="E402" s="23">
        <v>4</v>
      </c>
      <c r="F402" s="23">
        <v>12</v>
      </c>
      <c r="G402" s="23">
        <v>3</v>
      </c>
      <c r="H402" s="23">
        <v>4</v>
      </c>
      <c r="I402" s="23">
        <v>11</v>
      </c>
      <c r="J402" s="23">
        <v>4</v>
      </c>
      <c r="K402" s="23">
        <v>9</v>
      </c>
      <c r="L402" s="23">
        <v>8</v>
      </c>
      <c r="M402" s="23">
        <v>15</v>
      </c>
      <c r="N402" s="23">
        <v>14</v>
      </c>
      <c r="O402" s="23">
        <v>22</v>
      </c>
      <c r="P402" s="28">
        <v>5</v>
      </c>
    </row>
    <row r="403" spans="1:16" x14ac:dyDescent="0.25">
      <c r="A403" s="27">
        <v>44958</v>
      </c>
      <c r="B403" s="23">
        <v>94</v>
      </c>
      <c r="C403" s="23">
        <v>87</v>
      </c>
      <c r="D403" s="23">
        <v>82</v>
      </c>
      <c r="E403" s="23">
        <v>5</v>
      </c>
      <c r="F403" s="23">
        <v>7</v>
      </c>
      <c r="G403" s="23">
        <v>0</v>
      </c>
      <c r="H403" s="23">
        <v>4</v>
      </c>
      <c r="I403" s="23">
        <v>10</v>
      </c>
      <c r="J403" s="23">
        <v>6</v>
      </c>
      <c r="K403" s="23">
        <v>9</v>
      </c>
      <c r="L403" s="23">
        <v>12</v>
      </c>
      <c r="M403" s="23">
        <v>16</v>
      </c>
      <c r="N403" s="23">
        <v>7</v>
      </c>
      <c r="O403" s="23">
        <v>12</v>
      </c>
      <c r="P403" s="28">
        <v>6</v>
      </c>
    </row>
    <row r="404" spans="1:16" x14ac:dyDescent="0.25">
      <c r="A404" s="27">
        <v>44959</v>
      </c>
      <c r="B404" s="23">
        <v>122</v>
      </c>
      <c r="C404" s="23">
        <v>113</v>
      </c>
      <c r="D404" s="23">
        <v>105</v>
      </c>
      <c r="E404" s="23">
        <v>8</v>
      </c>
      <c r="F404" s="23">
        <v>6</v>
      </c>
      <c r="G404" s="23">
        <v>3</v>
      </c>
      <c r="H404" s="23">
        <v>5</v>
      </c>
      <c r="I404" s="23">
        <v>14</v>
      </c>
      <c r="J404" s="23">
        <v>9</v>
      </c>
      <c r="K404" s="23">
        <v>6</v>
      </c>
      <c r="L404" s="23">
        <v>19</v>
      </c>
      <c r="M404" s="23">
        <v>17</v>
      </c>
      <c r="N404" s="23">
        <v>10</v>
      </c>
      <c r="O404" s="23">
        <v>19</v>
      </c>
      <c r="P404" s="28">
        <v>6</v>
      </c>
    </row>
    <row r="405" spans="1:16" x14ac:dyDescent="0.25">
      <c r="A405" s="27">
        <v>44960</v>
      </c>
      <c r="B405" s="23">
        <v>107</v>
      </c>
      <c r="C405" s="23">
        <v>102</v>
      </c>
      <c r="D405" s="23">
        <v>92</v>
      </c>
      <c r="E405" s="23">
        <v>10</v>
      </c>
      <c r="F405" s="23">
        <v>4</v>
      </c>
      <c r="G405" s="23">
        <v>1</v>
      </c>
      <c r="H405" s="23">
        <v>2</v>
      </c>
      <c r="I405" s="23">
        <v>24</v>
      </c>
      <c r="J405" s="23">
        <v>7</v>
      </c>
      <c r="K405" s="23">
        <v>4</v>
      </c>
      <c r="L405" s="23">
        <v>11</v>
      </c>
      <c r="M405" s="23">
        <v>17</v>
      </c>
      <c r="N405" s="23">
        <v>7</v>
      </c>
      <c r="O405" s="23">
        <v>9</v>
      </c>
      <c r="P405" s="28">
        <v>11</v>
      </c>
    </row>
    <row r="406" spans="1:16" x14ac:dyDescent="0.25">
      <c r="A406" s="27">
        <v>44961</v>
      </c>
      <c r="B406" s="23">
        <v>5</v>
      </c>
      <c r="C406" s="23">
        <v>5</v>
      </c>
      <c r="D406" s="23">
        <v>5</v>
      </c>
      <c r="E406" s="23">
        <v>0</v>
      </c>
      <c r="F406" s="23">
        <v>0</v>
      </c>
      <c r="G406" s="23">
        <v>0</v>
      </c>
      <c r="H406" s="23">
        <v>0</v>
      </c>
      <c r="I406" s="23">
        <v>0</v>
      </c>
      <c r="J406" s="23">
        <v>1</v>
      </c>
      <c r="K406" s="23">
        <v>2</v>
      </c>
      <c r="L406" s="23">
        <v>0</v>
      </c>
      <c r="M406" s="23">
        <v>1</v>
      </c>
      <c r="N406" s="23">
        <v>1</v>
      </c>
      <c r="O406" s="23">
        <v>0</v>
      </c>
      <c r="P406" s="28">
        <v>0</v>
      </c>
    </row>
    <row r="407" spans="1:16" x14ac:dyDescent="0.25">
      <c r="A407" s="27">
        <v>44962</v>
      </c>
      <c r="B407" s="23">
        <v>0</v>
      </c>
      <c r="C407" s="23">
        <v>0</v>
      </c>
      <c r="D407" s="23">
        <v>0</v>
      </c>
      <c r="E407" s="23">
        <v>0</v>
      </c>
      <c r="F407" s="23">
        <v>0</v>
      </c>
      <c r="G407" s="23">
        <v>0</v>
      </c>
      <c r="H407" s="23">
        <v>0</v>
      </c>
      <c r="I407" s="23">
        <v>0</v>
      </c>
      <c r="J407" s="23">
        <v>0</v>
      </c>
      <c r="K407" s="23">
        <v>0</v>
      </c>
      <c r="L407" s="23">
        <v>0</v>
      </c>
      <c r="M407" s="23">
        <v>0</v>
      </c>
      <c r="N407" s="23">
        <v>0</v>
      </c>
      <c r="O407" s="23">
        <v>0</v>
      </c>
      <c r="P407" s="28">
        <v>0</v>
      </c>
    </row>
    <row r="408" spans="1:16" x14ac:dyDescent="0.25">
      <c r="A408" s="27">
        <v>44963</v>
      </c>
      <c r="B408" s="23">
        <v>98</v>
      </c>
      <c r="C408" s="23">
        <v>88</v>
      </c>
      <c r="D408" s="23">
        <v>86</v>
      </c>
      <c r="E408" s="23">
        <v>2</v>
      </c>
      <c r="F408" s="23">
        <v>6</v>
      </c>
      <c r="G408" s="23">
        <v>4</v>
      </c>
      <c r="H408" s="23">
        <v>1</v>
      </c>
      <c r="I408" s="23">
        <v>12</v>
      </c>
      <c r="J408" s="23">
        <v>9</v>
      </c>
      <c r="K408" s="23">
        <v>5</v>
      </c>
      <c r="L408" s="23">
        <v>16</v>
      </c>
      <c r="M408" s="23">
        <v>8</v>
      </c>
      <c r="N408" s="23">
        <v>7</v>
      </c>
      <c r="O408" s="23">
        <v>21</v>
      </c>
      <c r="P408" s="28">
        <v>7</v>
      </c>
    </row>
    <row r="409" spans="1:16" x14ac:dyDescent="0.25">
      <c r="A409" s="27">
        <v>44964</v>
      </c>
      <c r="B409" s="23">
        <v>114</v>
      </c>
      <c r="C409" s="23">
        <v>104</v>
      </c>
      <c r="D409" s="23">
        <v>99</v>
      </c>
      <c r="E409" s="23">
        <v>5</v>
      </c>
      <c r="F409" s="23">
        <v>7</v>
      </c>
      <c r="G409" s="23">
        <v>3</v>
      </c>
      <c r="H409" s="23">
        <v>6</v>
      </c>
      <c r="I409" s="23">
        <v>13</v>
      </c>
      <c r="J409" s="23">
        <v>9</v>
      </c>
      <c r="K409" s="23">
        <v>7</v>
      </c>
      <c r="L409" s="23">
        <v>13</v>
      </c>
      <c r="M409" s="23">
        <v>17</v>
      </c>
      <c r="N409" s="23">
        <v>7</v>
      </c>
      <c r="O409" s="23">
        <v>19</v>
      </c>
      <c r="P409" s="28">
        <v>8</v>
      </c>
    </row>
    <row r="410" spans="1:16" x14ac:dyDescent="0.25">
      <c r="A410" s="27">
        <v>44965</v>
      </c>
      <c r="B410" s="23">
        <v>91</v>
      </c>
      <c r="C410" s="23">
        <v>82</v>
      </c>
      <c r="D410" s="23">
        <v>81</v>
      </c>
      <c r="E410" s="23">
        <v>1</v>
      </c>
      <c r="F410" s="23">
        <v>7</v>
      </c>
      <c r="G410" s="23">
        <v>2</v>
      </c>
      <c r="H410" s="23">
        <v>3</v>
      </c>
      <c r="I410" s="23">
        <v>5</v>
      </c>
      <c r="J410" s="23">
        <v>4</v>
      </c>
      <c r="K410" s="23">
        <v>7</v>
      </c>
      <c r="L410" s="23">
        <v>12</v>
      </c>
      <c r="M410" s="23">
        <v>12</v>
      </c>
      <c r="N410" s="23">
        <v>12</v>
      </c>
      <c r="O410" s="23">
        <v>15</v>
      </c>
      <c r="P410" s="28">
        <v>11</v>
      </c>
    </row>
    <row r="411" spans="1:16" x14ac:dyDescent="0.25">
      <c r="A411" s="27">
        <v>44966</v>
      </c>
      <c r="B411" s="23">
        <v>85</v>
      </c>
      <c r="C411" s="23">
        <v>80</v>
      </c>
      <c r="D411" s="23">
        <v>79</v>
      </c>
      <c r="E411" s="23">
        <v>1</v>
      </c>
      <c r="F411" s="23">
        <v>3</v>
      </c>
      <c r="G411" s="23">
        <v>2</v>
      </c>
      <c r="H411" s="23">
        <v>4</v>
      </c>
      <c r="I411" s="23">
        <v>10</v>
      </c>
      <c r="J411" s="23">
        <v>9</v>
      </c>
      <c r="K411" s="23">
        <v>5</v>
      </c>
      <c r="L411" s="23">
        <v>11</v>
      </c>
      <c r="M411" s="23">
        <v>16</v>
      </c>
      <c r="N411" s="23">
        <v>5</v>
      </c>
      <c r="O411" s="23">
        <v>14</v>
      </c>
      <c r="P411" s="28">
        <v>5</v>
      </c>
    </row>
    <row r="412" spans="1:16" x14ac:dyDescent="0.25">
      <c r="A412" s="27">
        <v>44967</v>
      </c>
      <c r="B412" s="23">
        <v>103</v>
      </c>
      <c r="C412" s="23">
        <v>87</v>
      </c>
      <c r="D412" s="23">
        <v>82</v>
      </c>
      <c r="E412" s="23">
        <v>5</v>
      </c>
      <c r="F412" s="23">
        <v>13</v>
      </c>
      <c r="G412" s="23">
        <v>3</v>
      </c>
      <c r="H412" s="23">
        <v>4</v>
      </c>
      <c r="I412" s="23">
        <v>9</v>
      </c>
      <c r="J412" s="23">
        <v>7</v>
      </c>
      <c r="K412" s="23">
        <v>9</v>
      </c>
      <c r="L412" s="23">
        <v>13</v>
      </c>
      <c r="M412" s="23">
        <v>16</v>
      </c>
      <c r="N412" s="23">
        <v>4</v>
      </c>
      <c r="O412" s="23">
        <v>12</v>
      </c>
      <c r="P412" s="28">
        <v>8</v>
      </c>
    </row>
    <row r="413" spans="1:16" x14ac:dyDescent="0.25">
      <c r="A413" s="27">
        <v>44968</v>
      </c>
      <c r="B413" s="23">
        <v>4</v>
      </c>
      <c r="C413" s="23">
        <v>4</v>
      </c>
      <c r="D413" s="23">
        <v>3</v>
      </c>
      <c r="E413" s="23">
        <v>1</v>
      </c>
      <c r="F413" s="23">
        <v>0</v>
      </c>
      <c r="G413" s="23">
        <v>0</v>
      </c>
      <c r="H413" s="23">
        <v>0</v>
      </c>
      <c r="I413" s="23">
        <v>1</v>
      </c>
      <c r="J413" s="23">
        <v>0</v>
      </c>
      <c r="K413" s="23">
        <v>0</v>
      </c>
      <c r="L413" s="23">
        <v>1</v>
      </c>
      <c r="M413" s="23">
        <v>0</v>
      </c>
      <c r="N413" s="23">
        <v>1</v>
      </c>
      <c r="O413" s="23">
        <v>0</v>
      </c>
      <c r="P413" s="28">
        <v>0</v>
      </c>
    </row>
    <row r="414" spans="1:16" x14ac:dyDescent="0.25">
      <c r="A414" s="27">
        <v>44969</v>
      </c>
      <c r="B414" s="23">
        <v>0</v>
      </c>
      <c r="C414" s="23">
        <v>0</v>
      </c>
      <c r="D414" s="23">
        <v>0</v>
      </c>
      <c r="E414" s="23">
        <v>0</v>
      </c>
      <c r="F414" s="23">
        <v>0</v>
      </c>
      <c r="G414" s="23">
        <v>0</v>
      </c>
      <c r="H414" s="23">
        <v>0</v>
      </c>
      <c r="I414" s="23">
        <v>0</v>
      </c>
      <c r="J414" s="23">
        <v>0</v>
      </c>
      <c r="K414" s="23">
        <v>0</v>
      </c>
      <c r="L414" s="23">
        <v>0</v>
      </c>
      <c r="M414" s="23">
        <v>0</v>
      </c>
      <c r="N414" s="23">
        <v>0</v>
      </c>
      <c r="O414" s="23">
        <v>0</v>
      </c>
      <c r="P414" s="28">
        <v>0</v>
      </c>
    </row>
    <row r="415" spans="1:16" x14ac:dyDescent="0.25">
      <c r="A415" s="27">
        <v>44970</v>
      </c>
      <c r="B415" s="23">
        <v>102</v>
      </c>
      <c r="C415" s="23">
        <v>88</v>
      </c>
      <c r="D415" s="23">
        <v>86</v>
      </c>
      <c r="E415" s="23">
        <v>2</v>
      </c>
      <c r="F415" s="23">
        <v>12</v>
      </c>
      <c r="G415" s="23">
        <v>2</v>
      </c>
      <c r="H415" s="23">
        <v>7</v>
      </c>
      <c r="I415" s="23">
        <v>13</v>
      </c>
      <c r="J415" s="23">
        <v>6</v>
      </c>
      <c r="K415" s="23">
        <v>7</v>
      </c>
      <c r="L415" s="23">
        <v>14</v>
      </c>
      <c r="M415" s="23">
        <v>9</v>
      </c>
      <c r="N415" s="23">
        <v>9</v>
      </c>
      <c r="O415" s="23">
        <v>15</v>
      </c>
      <c r="P415" s="28">
        <v>6</v>
      </c>
    </row>
    <row r="416" spans="1:16" x14ac:dyDescent="0.25">
      <c r="A416" s="27">
        <v>44971</v>
      </c>
      <c r="B416" s="23">
        <v>89</v>
      </c>
      <c r="C416" s="23">
        <v>76</v>
      </c>
      <c r="D416" s="23">
        <v>72</v>
      </c>
      <c r="E416" s="23">
        <v>4</v>
      </c>
      <c r="F416" s="23">
        <v>10</v>
      </c>
      <c r="G416" s="23">
        <v>3</v>
      </c>
      <c r="H416" s="23">
        <v>8</v>
      </c>
      <c r="I416" s="23">
        <v>7</v>
      </c>
      <c r="J416" s="23">
        <v>5</v>
      </c>
      <c r="K416" s="23">
        <v>8</v>
      </c>
      <c r="L416" s="23">
        <v>7</v>
      </c>
      <c r="M416" s="23">
        <v>8</v>
      </c>
      <c r="N416" s="23">
        <v>5</v>
      </c>
      <c r="O416" s="23">
        <v>17</v>
      </c>
      <c r="P416" s="28">
        <v>7</v>
      </c>
    </row>
    <row r="417" spans="1:16" x14ac:dyDescent="0.25">
      <c r="A417" s="27">
        <v>44972</v>
      </c>
      <c r="B417" s="23">
        <v>95</v>
      </c>
      <c r="C417" s="23">
        <v>83</v>
      </c>
      <c r="D417" s="23">
        <v>79</v>
      </c>
      <c r="E417" s="23">
        <v>3</v>
      </c>
      <c r="F417" s="23">
        <v>8</v>
      </c>
      <c r="G417" s="23">
        <v>4</v>
      </c>
      <c r="H417" s="23">
        <v>4</v>
      </c>
      <c r="I417" s="23">
        <v>8</v>
      </c>
      <c r="J417" s="23">
        <v>7</v>
      </c>
      <c r="K417" s="23">
        <v>8</v>
      </c>
      <c r="L417" s="23">
        <v>15</v>
      </c>
      <c r="M417" s="23">
        <v>13</v>
      </c>
      <c r="N417" s="23">
        <v>4</v>
      </c>
      <c r="O417" s="23">
        <v>13</v>
      </c>
      <c r="P417" s="28">
        <v>7</v>
      </c>
    </row>
    <row r="418" spans="1:16" x14ac:dyDescent="0.25">
      <c r="A418" s="27">
        <v>44973</v>
      </c>
      <c r="B418" s="23">
        <v>95</v>
      </c>
      <c r="C418" s="23">
        <v>85</v>
      </c>
      <c r="D418" s="23">
        <v>82</v>
      </c>
      <c r="E418" s="23">
        <v>2</v>
      </c>
      <c r="F418" s="23">
        <v>8</v>
      </c>
      <c r="G418" s="23">
        <v>2</v>
      </c>
      <c r="H418" s="23">
        <v>7</v>
      </c>
      <c r="I418" s="23">
        <v>11</v>
      </c>
      <c r="J418" s="23">
        <v>3</v>
      </c>
      <c r="K418" s="23">
        <v>2</v>
      </c>
      <c r="L418" s="23">
        <v>12</v>
      </c>
      <c r="M418" s="23">
        <v>15</v>
      </c>
      <c r="N418" s="23">
        <v>8</v>
      </c>
      <c r="O418" s="23">
        <v>16</v>
      </c>
      <c r="P418" s="28">
        <v>8</v>
      </c>
    </row>
    <row r="419" spans="1:16" x14ac:dyDescent="0.25">
      <c r="A419" s="27">
        <v>44974</v>
      </c>
      <c r="B419" s="23">
        <v>90</v>
      </c>
      <c r="C419" s="23">
        <v>80</v>
      </c>
      <c r="D419" s="23">
        <v>79</v>
      </c>
      <c r="E419" s="23">
        <v>1</v>
      </c>
      <c r="F419" s="23">
        <v>9</v>
      </c>
      <c r="G419" s="23">
        <v>1</v>
      </c>
      <c r="H419" s="23">
        <v>6</v>
      </c>
      <c r="I419" s="23">
        <v>5</v>
      </c>
      <c r="J419" s="23">
        <v>7</v>
      </c>
      <c r="K419" s="23">
        <v>7</v>
      </c>
      <c r="L419" s="23">
        <v>10</v>
      </c>
      <c r="M419" s="23">
        <v>17</v>
      </c>
      <c r="N419" s="23">
        <v>7</v>
      </c>
      <c r="O419" s="23">
        <v>12</v>
      </c>
      <c r="P419" s="28">
        <v>8</v>
      </c>
    </row>
    <row r="420" spans="1:16" x14ac:dyDescent="0.25">
      <c r="A420" s="27">
        <v>44975</v>
      </c>
      <c r="B420" s="23">
        <v>4</v>
      </c>
      <c r="C420" s="23">
        <v>3</v>
      </c>
      <c r="D420" s="23">
        <v>3</v>
      </c>
      <c r="E420" s="23">
        <v>0</v>
      </c>
      <c r="F420" s="23">
        <v>1</v>
      </c>
      <c r="G420" s="23">
        <v>0</v>
      </c>
      <c r="H420" s="23">
        <v>0</v>
      </c>
      <c r="I420" s="23">
        <v>1</v>
      </c>
      <c r="J420" s="23">
        <v>0</v>
      </c>
      <c r="K420" s="23">
        <v>1</v>
      </c>
      <c r="L420" s="23">
        <v>0</v>
      </c>
      <c r="M420" s="23">
        <v>0</v>
      </c>
      <c r="N420" s="23">
        <v>1</v>
      </c>
      <c r="O420" s="23">
        <v>0</v>
      </c>
      <c r="P420" s="28">
        <v>0</v>
      </c>
    </row>
    <row r="421" spans="1:16" x14ac:dyDescent="0.25">
      <c r="A421" s="27">
        <v>44976</v>
      </c>
      <c r="B421" s="23">
        <v>0</v>
      </c>
      <c r="C421" s="23">
        <v>0</v>
      </c>
      <c r="D421" s="23">
        <v>0</v>
      </c>
      <c r="E421" s="23">
        <v>0</v>
      </c>
      <c r="F421" s="23">
        <v>0</v>
      </c>
      <c r="G421" s="23">
        <v>0</v>
      </c>
      <c r="H421" s="23">
        <v>0</v>
      </c>
      <c r="I421" s="23">
        <v>0</v>
      </c>
      <c r="J421" s="23">
        <v>0</v>
      </c>
      <c r="K421" s="23">
        <v>0</v>
      </c>
      <c r="L421" s="23">
        <v>0</v>
      </c>
      <c r="M421" s="23">
        <v>0</v>
      </c>
      <c r="N421" s="23">
        <v>0</v>
      </c>
      <c r="O421" s="23">
        <v>0</v>
      </c>
      <c r="P421" s="28">
        <v>0</v>
      </c>
    </row>
    <row r="422" spans="1:16" x14ac:dyDescent="0.25">
      <c r="A422" s="27">
        <v>44977</v>
      </c>
      <c r="B422" s="23">
        <v>93</v>
      </c>
      <c r="C422" s="23">
        <v>79</v>
      </c>
      <c r="D422" s="23">
        <v>76</v>
      </c>
      <c r="E422" s="23">
        <v>2</v>
      </c>
      <c r="F422" s="23">
        <v>11</v>
      </c>
      <c r="G422" s="23">
        <v>3</v>
      </c>
      <c r="H422" s="23">
        <v>5</v>
      </c>
      <c r="I422" s="23">
        <v>17</v>
      </c>
      <c r="J422" s="23">
        <v>6</v>
      </c>
      <c r="K422" s="23">
        <v>6</v>
      </c>
      <c r="L422" s="23">
        <v>8</v>
      </c>
      <c r="M422" s="23">
        <v>13</v>
      </c>
      <c r="N422" s="23">
        <v>5</v>
      </c>
      <c r="O422" s="23">
        <v>14</v>
      </c>
      <c r="P422" s="28">
        <v>2</v>
      </c>
    </row>
    <row r="423" spans="1:16" x14ac:dyDescent="0.25">
      <c r="A423" s="27">
        <v>44978</v>
      </c>
      <c r="B423" s="23">
        <v>83</v>
      </c>
      <c r="C423" s="23">
        <v>71</v>
      </c>
      <c r="D423" s="23">
        <v>68</v>
      </c>
      <c r="E423" s="23">
        <v>3</v>
      </c>
      <c r="F423" s="23">
        <v>11</v>
      </c>
      <c r="G423" s="23">
        <v>1</v>
      </c>
      <c r="H423" s="23">
        <v>6</v>
      </c>
      <c r="I423" s="23">
        <v>11</v>
      </c>
      <c r="J423" s="23">
        <v>9</v>
      </c>
      <c r="K423" s="23">
        <v>7</v>
      </c>
      <c r="L423" s="23">
        <v>8</v>
      </c>
      <c r="M423" s="23">
        <v>11</v>
      </c>
      <c r="N423" s="23">
        <v>5</v>
      </c>
      <c r="O423" s="23">
        <v>10</v>
      </c>
      <c r="P423" s="28">
        <v>1</v>
      </c>
    </row>
    <row r="424" spans="1:16" x14ac:dyDescent="0.25">
      <c r="A424" s="27">
        <v>44979</v>
      </c>
      <c r="B424" s="23">
        <v>104</v>
      </c>
      <c r="C424" s="23">
        <v>94</v>
      </c>
      <c r="D424" s="23">
        <v>87</v>
      </c>
      <c r="E424" s="23">
        <v>7</v>
      </c>
      <c r="F424" s="23">
        <v>10</v>
      </c>
      <c r="G424" s="23">
        <v>0</v>
      </c>
      <c r="H424" s="23">
        <v>8</v>
      </c>
      <c r="I424" s="23">
        <v>10</v>
      </c>
      <c r="J424" s="23">
        <v>9</v>
      </c>
      <c r="K424" s="23">
        <v>4</v>
      </c>
      <c r="L424" s="23">
        <v>7</v>
      </c>
      <c r="M424" s="23">
        <v>15</v>
      </c>
      <c r="N424" s="23">
        <v>9</v>
      </c>
      <c r="O424" s="23">
        <v>18</v>
      </c>
      <c r="P424" s="28">
        <v>7</v>
      </c>
    </row>
    <row r="425" spans="1:16" x14ac:dyDescent="0.25">
      <c r="A425" s="27">
        <v>44980</v>
      </c>
      <c r="B425" s="23">
        <v>107</v>
      </c>
      <c r="C425" s="23">
        <v>95</v>
      </c>
      <c r="D425" s="23">
        <v>91</v>
      </c>
      <c r="E425" s="23">
        <v>4</v>
      </c>
      <c r="F425" s="23">
        <v>9</v>
      </c>
      <c r="G425" s="23">
        <v>3</v>
      </c>
      <c r="H425" s="23">
        <v>4</v>
      </c>
      <c r="I425" s="23">
        <v>12</v>
      </c>
      <c r="J425" s="23">
        <v>9</v>
      </c>
      <c r="K425" s="23">
        <v>9</v>
      </c>
      <c r="L425" s="23">
        <v>17</v>
      </c>
      <c r="M425" s="23">
        <v>12</v>
      </c>
      <c r="N425" s="23">
        <v>8</v>
      </c>
      <c r="O425" s="23">
        <v>13</v>
      </c>
      <c r="P425" s="28">
        <v>7</v>
      </c>
    </row>
    <row r="426" spans="1:16" x14ac:dyDescent="0.25">
      <c r="A426" s="27">
        <v>44981</v>
      </c>
      <c r="B426" s="23">
        <v>86</v>
      </c>
      <c r="C426" s="23">
        <v>78</v>
      </c>
      <c r="D426" s="23">
        <v>74</v>
      </c>
      <c r="E426" s="23">
        <v>4</v>
      </c>
      <c r="F426" s="23">
        <v>6</v>
      </c>
      <c r="G426" s="23">
        <v>2</v>
      </c>
      <c r="H426" s="23">
        <v>4</v>
      </c>
      <c r="I426" s="23">
        <v>9</v>
      </c>
      <c r="J426" s="23">
        <v>9</v>
      </c>
      <c r="K426" s="23">
        <v>8</v>
      </c>
      <c r="L426" s="23">
        <v>8</v>
      </c>
      <c r="M426" s="23">
        <v>12</v>
      </c>
      <c r="N426" s="23">
        <v>8</v>
      </c>
      <c r="O426" s="23">
        <v>11</v>
      </c>
      <c r="P426" s="28">
        <v>5</v>
      </c>
    </row>
    <row r="427" spans="1:16" x14ac:dyDescent="0.25">
      <c r="A427" s="27">
        <v>44982</v>
      </c>
      <c r="B427" s="23">
        <v>8</v>
      </c>
      <c r="C427" s="23">
        <v>8</v>
      </c>
      <c r="D427" s="23">
        <v>8</v>
      </c>
      <c r="E427" s="23">
        <v>0</v>
      </c>
      <c r="F427" s="23">
        <v>0</v>
      </c>
      <c r="G427" s="23">
        <v>0</v>
      </c>
      <c r="H427" s="23">
        <v>0</v>
      </c>
      <c r="I427" s="23">
        <v>1</v>
      </c>
      <c r="J427" s="23">
        <v>1</v>
      </c>
      <c r="K427" s="23">
        <v>1</v>
      </c>
      <c r="L427" s="23">
        <v>2</v>
      </c>
      <c r="M427" s="23">
        <v>2</v>
      </c>
      <c r="N427" s="23">
        <v>0</v>
      </c>
      <c r="O427" s="23">
        <v>0</v>
      </c>
      <c r="P427" s="28">
        <v>1</v>
      </c>
    </row>
    <row r="428" spans="1:16" x14ac:dyDescent="0.25">
      <c r="A428" s="27">
        <v>44983</v>
      </c>
      <c r="B428" s="23">
        <v>0</v>
      </c>
      <c r="C428" s="23">
        <v>0</v>
      </c>
      <c r="D428" s="23">
        <v>0</v>
      </c>
      <c r="E428" s="23">
        <v>0</v>
      </c>
      <c r="F428" s="23">
        <v>0</v>
      </c>
      <c r="G428" s="23">
        <v>0</v>
      </c>
      <c r="H428" s="23">
        <v>0</v>
      </c>
      <c r="I428" s="23">
        <v>0</v>
      </c>
      <c r="J428" s="23">
        <v>0</v>
      </c>
      <c r="K428" s="23">
        <v>0</v>
      </c>
      <c r="L428" s="23">
        <v>0</v>
      </c>
      <c r="M428" s="23">
        <v>0</v>
      </c>
      <c r="N428" s="23">
        <v>0</v>
      </c>
      <c r="O428" s="23">
        <v>0</v>
      </c>
      <c r="P428" s="28">
        <v>0</v>
      </c>
    </row>
    <row r="429" spans="1:16" x14ac:dyDescent="0.25">
      <c r="A429" s="27">
        <v>44984</v>
      </c>
      <c r="B429" s="23">
        <v>100</v>
      </c>
      <c r="C429" s="23">
        <v>95</v>
      </c>
      <c r="D429" s="23">
        <v>93</v>
      </c>
      <c r="E429" s="23">
        <v>2</v>
      </c>
      <c r="F429" s="23">
        <v>4</v>
      </c>
      <c r="G429" s="23">
        <v>1</v>
      </c>
      <c r="H429" s="23">
        <v>9</v>
      </c>
      <c r="I429" s="23">
        <v>13</v>
      </c>
      <c r="J429" s="23">
        <v>11</v>
      </c>
      <c r="K429" s="23">
        <v>12</v>
      </c>
      <c r="L429" s="23">
        <v>8</v>
      </c>
      <c r="M429" s="23">
        <v>9</v>
      </c>
      <c r="N429" s="23">
        <v>10</v>
      </c>
      <c r="O429" s="23">
        <v>8</v>
      </c>
      <c r="P429" s="28">
        <v>13</v>
      </c>
    </row>
    <row r="430" spans="1:16" x14ac:dyDescent="0.25">
      <c r="A430" s="27">
        <v>44985</v>
      </c>
      <c r="B430" s="23">
        <v>132</v>
      </c>
      <c r="C430" s="23">
        <v>121</v>
      </c>
      <c r="D430" s="23">
        <v>119</v>
      </c>
      <c r="E430" s="23">
        <v>2</v>
      </c>
      <c r="F430" s="23">
        <v>8</v>
      </c>
      <c r="G430" s="23">
        <v>3</v>
      </c>
      <c r="H430" s="23">
        <v>5</v>
      </c>
      <c r="I430" s="23">
        <v>12</v>
      </c>
      <c r="J430" s="23">
        <v>9</v>
      </c>
      <c r="K430" s="23">
        <v>11</v>
      </c>
      <c r="L430" s="23">
        <v>14</v>
      </c>
      <c r="M430" s="23">
        <v>16</v>
      </c>
      <c r="N430" s="23">
        <v>11</v>
      </c>
      <c r="O430" s="23">
        <v>18</v>
      </c>
      <c r="P430" s="28">
        <v>23</v>
      </c>
    </row>
    <row r="431" spans="1:16" x14ac:dyDescent="0.25">
      <c r="A431" s="27">
        <v>44986</v>
      </c>
      <c r="B431" s="23">
        <v>111</v>
      </c>
      <c r="C431" s="23">
        <v>104</v>
      </c>
      <c r="D431" s="23">
        <v>101</v>
      </c>
      <c r="E431" s="23">
        <v>3</v>
      </c>
      <c r="F431" s="23">
        <v>6</v>
      </c>
      <c r="G431" s="23">
        <v>1</v>
      </c>
      <c r="H431" s="23">
        <v>9</v>
      </c>
      <c r="I431" s="23">
        <v>13</v>
      </c>
      <c r="J431" s="23">
        <v>10</v>
      </c>
      <c r="K431" s="23">
        <v>9</v>
      </c>
      <c r="L431" s="23">
        <v>9</v>
      </c>
      <c r="M431" s="23">
        <v>11</v>
      </c>
      <c r="N431" s="23">
        <v>14</v>
      </c>
      <c r="O431" s="23">
        <v>15</v>
      </c>
      <c r="P431" s="28">
        <v>11</v>
      </c>
    </row>
    <row r="432" spans="1:16" x14ac:dyDescent="0.25">
      <c r="A432" s="27">
        <v>44987</v>
      </c>
      <c r="B432" s="23">
        <v>105</v>
      </c>
      <c r="C432" s="23">
        <v>89</v>
      </c>
      <c r="D432" s="23">
        <v>88</v>
      </c>
      <c r="E432" s="23">
        <v>1</v>
      </c>
      <c r="F432" s="23">
        <v>12</v>
      </c>
      <c r="G432" s="23">
        <v>4</v>
      </c>
      <c r="H432" s="23">
        <v>6</v>
      </c>
      <c r="I432" s="23">
        <v>7</v>
      </c>
      <c r="J432" s="23">
        <v>11</v>
      </c>
      <c r="K432" s="23">
        <v>5</v>
      </c>
      <c r="L432" s="23">
        <v>11</v>
      </c>
      <c r="M432" s="23">
        <v>18</v>
      </c>
      <c r="N432" s="23">
        <v>7</v>
      </c>
      <c r="O432" s="23">
        <v>12</v>
      </c>
      <c r="P432" s="28">
        <v>11</v>
      </c>
    </row>
    <row r="433" spans="1:16" x14ac:dyDescent="0.25">
      <c r="A433" s="27">
        <v>44988</v>
      </c>
      <c r="B433" s="23">
        <v>109</v>
      </c>
      <c r="C433" s="23">
        <v>96</v>
      </c>
      <c r="D433" s="23">
        <v>90</v>
      </c>
      <c r="E433" s="23">
        <v>6</v>
      </c>
      <c r="F433" s="23">
        <v>11</v>
      </c>
      <c r="G433" s="23">
        <v>2</v>
      </c>
      <c r="H433" s="23">
        <v>6</v>
      </c>
      <c r="I433" s="23">
        <v>12</v>
      </c>
      <c r="J433" s="23">
        <v>7</v>
      </c>
      <c r="K433" s="23">
        <v>10</v>
      </c>
      <c r="L433" s="23">
        <v>11</v>
      </c>
      <c r="M433" s="23">
        <v>8</v>
      </c>
      <c r="N433" s="23">
        <v>12</v>
      </c>
      <c r="O433" s="23">
        <v>18</v>
      </c>
      <c r="P433" s="28">
        <v>6</v>
      </c>
    </row>
    <row r="434" spans="1:16" x14ac:dyDescent="0.25">
      <c r="A434" s="27">
        <v>44989</v>
      </c>
      <c r="B434" s="23">
        <v>4</v>
      </c>
      <c r="C434" s="23">
        <v>4</v>
      </c>
      <c r="D434" s="23">
        <v>4</v>
      </c>
      <c r="E434" s="23">
        <v>0</v>
      </c>
      <c r="F434" s="23">
        <v>0</v>
      </c>
      <c r="G434" s="23">
        <v>0</v>
      </c>
      <c r="H434" s="23">
        <v>1</v>
      </c>
      <c r="I434" s="23">
        <v>0</v>
      </c>
      <c r="J434" s="23">
        <v>0</v>
      </c>
      <c r="K434" s="23">
        <v>1</v>
      </c>
      <c r="L434" s="23">
        <v>0</v>
      </c>
      <c r="M434" s="23">
        <v>1</v>
      </c>
      <c r="N434" s="23">
        <v>1</v>
      </c>
      <c r="O434" s="23">
        <v>0</v>
      </c>
      <c r="P434" s="28">
        <v>0</v>
      </c>
    </row>
    <row r="435" spans="1:16" x14ac:dyDescent="0.25">
      <c r="A435" s="27">
        <v>44990</v>
      </c>
      <c r="B435" s="23">
        <v>0</v>
      </c>
      <c r="C435" s="23">
        <v>0</v>
      </c>
      <c r="D435" s="23">
        <v>0</v>
      </c>
      <c r="E435" s="23">
        <v>0</v>
      </c>
      <c r="F435" s="23">
        <v>0</v>
      </c>
      <c r="G435" s="23">
        <v>0</v>
      </c>
      <c r="H435" s="23">
        <v>0</v>
      </c>
      <c r="I435" s="23">
        <v>0</v>
      </c>
      <c r="J435" s="23">
        <v>0</v>
      </c>
      <c r="K435" s="23">
        <v>0</v>
      </c>
      <c r="L435" s="23">
        <v>0</v>
      </c>
      <c r="M435" s="23">
        <v>0</v>
      </c>
      <c r="N435" s="23">
        <v>0</v>
      </c>
      <c r="O435" s="23">
        <v>0</v>
      </c>
      <c r="P435" s="28">
        <v>0</v>
      </c>
    </row>
    <row r="436" spans="1:16" x14ac:dyDescent="0.25">
      <c r="A436" s="27">
        <v>44991</v>
      </c>
      <c r="B436" s="23">
        <v>119</v>
      </c>
      <c r="C436" s="23">
        <v>103</v>
      </c>
      <c r="D436" s="23">
        <v>99</v>
      </c>
      <c r="E436" s="23">
        <v>3</v>
      </c>
      <c r="F436" s="23">
        <v>13</v>
      </c>
      <c r="G436" s="23">
        <v>3</v>
      </c>
      <c r="H436" s="23">
        <v>7</v>
      </c>
      <c r="I436" s="23">
        <v>12</v>
      </c>
      <c r="J436" s="23">
        <v>11</v>
      </c>
      <c r="K436" s="23">
        <v>15</v>
      </c>
      <c r="L436" s="23">
        <v>12</v>
      </c>
      <c r="M436" s="23">
        <v>16</v>
      </c>
      <c r="N436" s="23">
        <v>8</v>
      </c>
      <c r="O436" s="23">
        <v>10</v>
      </c>
      <c r="P436" s="28">
        <v>8</v>
      </c>
    </row>
    <row r="437" spans="1:16" x14ac:dyDescent="0.25">
      <c r="A437" s="27">
        <v>44992</v>
      </c>
      <c r="B437" s="23">
        <v>117</v>
      </c>
      <c r="C437" s="23">
        <v>99</v>
      </c>
      <c r="D437" s="23">
        <v>97</v>
      </c>
      <c r="E437" s="23">
        <v>2</v>
      </c>
      <c r="F437" s="23">
        <v>18</v>
      </c>
      <c r="G437" s="23">
        <v>0</v>
      </c>
      <c r="H437" s="23">
        <v>3</v>
      </c>
      <c r="I437" s="23">
        <v>9</v>
      </c>
      <c r="J437" s="23">
        <v>5</v>
      </c>
      <c r="K437" s="23">
        <v>11</v>
      </c>
      <c r="L437" s="23">
        <v>15</v>
      </c>
      <c r="M437" s="23">
        <v>16</v>
      </c>
      <c r="N437" s="23">
        <v>11</v>
      </c>
      <c r="O437" s="23">
        <v>16</v>
      </c>
      <c r="P437" s="28">
        <v>11</v>
      </c>
    </row>
    <row r="438" spans="1:16" x14ac:dyDescent="0.25">
      <c r="A438" s="27">
        <v>44993</v>
      </c>
      <c r="B438" s="23">
        <v>125</v>
      </c>
      <c r="C438" s="23">
        <v>111</v>
      </c>
      <c r="D438" s="23">
        <v>108</v>
      </c>
      <c r="E438" s="23">
        <v>3</v>
      </c>
      <c r="F438" s="23">
        <v>12</v>
      </c>
      <c r="G438" s="23">
        <v>2</v>
      </c>
      <c r="H438" s="23">
        <v>14</v>
      </c>
      <c r="I438" s="23">
        <v>11</v>
      </c>
      <c r="J438" s="23">
        <v>11</v>
      </c>
      <c r="K438" s="23">
        <v>11</v>
      </c>
      <c r="L438" s="23">
        <v>12</v>
      </c>
      <c r="M438" s="23">
        <v>19</v>
      </c>
      <c r="N438" s="23">
        <v>8</v>
      </c>
      <c r="O438" s="23">
        <v>18</v>
      </c>
      <c r="P438" s="28">
        <v>4</v>
      </c>
    </row>
    <row r="439" spans="1:16" x14ac:dyDescent="0.25">
      <c r="A439" s="27">
        <v>44994</v>
      </c>
      <c r="B439" s="23">
        <v>124</v>
      </c>
      <c r="C439" s="23">
        <v>115</v>
      </c>
      <c r="D439" s="23">
        <v>115</v>
      </c>
      <c r="E439" s="23">
        <v>0</v>
      </c>
      <c r="F439" s="23">
        <v>7</v>
      </c>
      <c r="G439" s="23">
        <v>2</v>
      </c>
      <c r="H439" s="23">
        <v>7</v>
      </c>
      <c r="I439" s="23">
        <v>18</v>
      </c>
      <c r="J439" s="23">
        <v>17</v>
      </c>
      <c r="K439" s="23">
        <v>14</v>
      </c>
      <c r="L439" s="23">
        <v>12</v>
      </c>
      <c r="M439" s="23">
        <v>8</v>
      </c>
      <c r="N439" s="23">
        <v>8</v>
      </c>
      <c r="O439" s="23">
        <v>23</v>
      </c>
      <c r="P439" s="28">
        <v>8</v>
      </c>
    </row>
    <row r="440" spans="1:16" x14ac:dyDescent="0.25">
      <c r="A440" s="27">
        <v>44995</v>
      </c>
      <c r="B440" s="23">
        <v>116</v>
      </c>
      <c r="C440" s="23">
        <v>101</v>
      </c>
      <c r="D440" s="23">
        <v>98</v>
      </c>
      <c r="E440" s="23">
        <v>3</v>
      </c>
      <c r="F440" s="23">
        <v>14</v>
      </c>
      <c r="G440" s="23">
        <v>1</v>
      </c>
      <c r="H440" s="23">
        <v>3</v>
      </c>
      <c r="I440" s="23">
        <v>13</v>
      </c>
      <c r="J440" s="23">
        <v>8</v>
      </c>
      <c r="K440" s="23">
        <v>16</v>
      </c>
      <c r="L440" s="23">
        <v>6</v>
      </c>
      <c r="M440" s="23">
        <v>10</v>
      </c>
      <c r="N440" s="23">
        <v>17</v>
      </c>
      <c r="O440" s="23">
        <v>15</v>
      </c>
      <c r="P440" s="28">
        <v>10</v>
      </c>
    </row>
    <row r="441" spans="1:16" x14ac:dyDescent="0.25">
      <c r="A441" s="27">
        <v>44996</v>
      </c>
      <c r="B441" s="23">
        <v>1</v>
      </c>
      <c r="C441" s="23">
        <v>1</v>
      </c>
      <c r="D441" s="23">
        <v>1</v>
      </c>
      <c r="E441" s="23">
        <v>0</v>
      </c>
      <c r="F441" s="23">
        <v>0</v>
      </c>
      <c r="G441" s="23">
        <v>0</v>
      </c>
      <c r="H441" s="23">
        <v>0</v>
      </c>
      <c r="I441" s="23">
        <v>1</v>
      </c>
      <c r="J441" s="23">
        <v>0</v>
      </c>
      <c r="K441" s="23">
        <v>0</v>
      </c>
      <c r="L441" s="23">
        <v>0</v>
      </c>
      <c r="M441" s="23">
        <v>0</v>
      </c>
      <c r="N441" s="23">
        <v>0</v>
      </c>
      <c r="O441" s="23">
        <v>0</v>
      </c>
      <c r="P441" s="28">
        <v>0</v>
      </c>
    </row>
    <row r="442" spans="1:16" x14ac:dyDescent="0.25">
      <c r="A442" s="27">
        <v>44997</v>
      </c>
      <c r="B442" s="23">
        <v>0</v>
      </c>
      <c r="C442" s="23">
        <v>0</v>
      </c>
      <c r="D442" s="23">
        <v>0</v>
      </c>
      <c r="E442" s="23">
        <v>0</v>
      </c>
      <c r="F442" s="23">
        <v>0</v>
      </c>
      <c r="G442" s="23">
        <v>0</v>
      </c>
      <c r="H442" s="23">
        <v>0</v>
      </c>
      <c r="I442" s="23">
        <v>0</v>
      </c>
      <c r="J442" s="23">
        <v>0</v>
      </c>
      <c r="K442" s="23">
        <v>0</v>
      </c>
      <c r="L442" s="23">
        <v>0</v>
      </c>
      <c r="M442" s="23">
        <v>0</v>
      </c>
      <c r="N442" s="23">
        <v>0</v>
      </c>
      <c r="O442" s="23">
        <v>0</v>
      </c>
      <c r="P442" s="28">
        <v>0</v>
      </c>
    </row>
    <row r="443" spans="1:16" x14ac:dyDescent="0.25">
      <c r="A443" s="27">
        <v>44998</v>
      </c>
      <c r="B443" s="23">
        <v>114</v>
      </c>
      <c r="C443" s="23">
        <v>104</v>
      </c>
      <c r="D443" s="23">
        <v>97</v>
      </c>
      <c r="E443" s="23">
        <v>7</v>
      </c>
      <c r="F443" s="23">
        <v>10</v>
      </c>
      <c r="G443" s="23">
        <v>0</v>
      </c>
      <c r="H443" s="23">
        <v>7</v>
      </c>
      <c r="I443" s="23">
        <v>18</v>
      </c>
      <c r="J443" s="23">
        <v>9</v>
      </c>
      <c r="K443" s="23">
        <v>9</v>
      </c>
      <c r="L443" s="23">
        <v>11</v>
      </c>
      <c r="M443" s="23">
        <v>7</v>
      </c>
      <c r="N443" s="23">
        <v>9</v>
      </c>
      <c r="O443" s="23">
        <v>17</v>
      </c>
      <c r="P443" s="28">
        <v>10</v>
      </c>
    </row>
    <row r="444" spans="1:16" x14ac:dyDescent="0.25">
      <c r="A444" s="27">
        <v>44999</v>
      </c>
      <c r="B444" s="23">
        <v>143</v>
      </c>
      <c r="C444" s="23">
        <v>129</v>
      </c>
      <c r="D444" s="23">
        <v>118</v>
      </c>
      <c r="E444" s="23">
        <v>11</v>
      </c>
      <c r="F444" s="23">
        <v>11</v>
      </c>
      <c r="G444" s="23">
        <v>3</v>
      </c>
      <c r="H444" s="23">
        <v>6</v>
      </c>
      <c r="I444" s="23">
        <v>19</v>
      </c>
      <c r="J444" s="23">
        <v>10</v>
      </c>
      <c r="K444" s="23">
        <v>10</v>
      </c>
      <c r="L444" s="23">
        <v>14</v>
      </c>
      <c r="M444" s="23">
        <v>21</v>
      </c>
      <c r="N444" s="23">
        <v>8</v>
      </c>
      <c r="O444" s="23">
        <v>19</v>
      </c>
      <c r="P444" s="28">
        <v>11</v>
      </c>
    </row>
    <row r="445" spans="1:16" x14ac:dyDescent="0.25">
      <c r="A445" s="27">
        <v>45000</v>
      </c>
      <c r="B445" s="23">
        <v>115</v>
      </c>
      <c r="C445" s="23">
        <v>100</v>
      </c>
      <c r="D445" s="23">
        <v>90</v>
      </c>
      <c r="E445" s="23">
        <v>10</v>
      </c>
      <c r="F445" s="23">
        <v>14</v>
      </c>
      <c r="G445" s="23">
        <v>1</v>
      </c>
      <c r="H445" s="23">
        <v>4</v>
      </c>
      <c r="I445" s="23">
        <v>7</v>
      </c>
      <c r="J445" s="23">
        <v>10</v>
      </c>
      <c r="K445" s="23">
        <v>9</v>
      </c>
      <c r="L445" s="23">
        <v>12</v>
      </c>
      <c r="M445" s="23">
        <v>9</v>
      </c>
      <c r="N445" s="23">
        <v>8</v>
      </c>
      <c r="O445" s="23">
        <v>19</v>
      </c>
      <c r="P445" s="28">
        <v>12</v>
      </c>
    </row>
    <row r="446" spans="1:16" x14ac:dyDescent="0.25">
      <c r="A446" s="27">
        <v>45001</v>
      </c>
      <c r="B446" s="23">
        <v>128</v>
      </c>
      <c r="C446" s="23">
        <v>116</v>
      </c>
      <c r="D446" s="23">
        <v>105</v>
      </c>
      <c r="E446" s="23">
        <v>11</v>
      </c>
      <c r="F446" s="23">
        <v>12</v>
      </c>
      <c r="G446" s="23">
        <v>0</v>
      </c>
      <c r="H446" s="23">
        <v>3</v>
      </c>
      <c r="I446" s="23">
        <v>18</v>
      </c>
      <c r="J446" s="23">
        <v>9</v>
      </c>
      <c r="K446" s="23">
        <v>9</v>
      </c>
      <c r="L446" s="23">
        <v>12</v>
      </c>
      <c r="M446" s="23">
        <v>18</v>
      </c>
      <c r="N446" s="23">
        <v>12</v>
      </c>
      <c r="O446" s="23">
        <v>13</v>
      </c>
      <c r="P446" s="28">
        <v>11</v>
      </c>
    </row>
    <row r="447" spans="1:16" x14ac:dyDescent="0.25">
      <c r="A447" s="27">
        <v>45002</v>
      </c>
      <c r="B447" s="23">
        <v>118</v>
      </c>
      <c r="C447" s="23">
        <v>109</v>
      </c>
      <c r="D447" s="23">
        <v>101</v>
      </c>
      <c r="E447" s="23">
        <v>8</v>
      </c>
      <c r="F447" s="23">
        <v>9</v>
      </c>
      <c r="G447" s="23">
        <v>0</v>
      </c>
      <c r="H447" s="23">
        <v>7</v>
      </c>
      <c r="I447" s="23">
        <v>19</v>
      </c>
      <c r="J447" s="23">
        <v>10</v>
      </c>
      <c r="K447" s="23">
        <v>15</v>
      </c>
      <c r="L447" s="23">
        <v>4</v>
      </c>
      <c r="M447" s="23">
        <v>19</v>
      </c>
      <c r="N447" s="23">
        <v>5</v>
      </c>
      <c r="O447" s="23">
        <v>11</v>
      </c>
      <c r="P447" s="28">
        <v>11</v>
      </c>
    </row>
    <row r="448" spans="1:16" x14ac:dyDescent="0.25">
      <c r="A448" s="27">
        <v>45003</v>
      </c>
      <c r="B448" s="23">
        <v>2</v>
      </c>
      <c r="C448" s="23">
        <v>2</v>
      </c>
      <c r="D448" s="23">
        <v>2</v>
      </c>
      <c r="E448" s="23">
        <v>0</v>
      </c>
      <c r="F448" s="23">
        <v>0</v>
      </c>
      <c r="G448" s="23">
        <v>0</v>
      </c>
      <c r="H448" s="23">
        <v>0</v>
      </c>
      <c r="I448" s="23">
        <v>0</v>
      </c>
      <c r="J448" s="23">
        <v>0</v>
      </c>
      <c r="K448" s="23">
        <v>0</v>
      </c>
      <c r="L448" s="23">
        <v>2</v>
      </c>
      <c r="M448" s="23">
        <v>0</v>
      </c>
      <c r="N448" s="23">
        <v>0</v>
      </c>
      <c r="O448" s="23">
        <v>0</v>
      </c>
      <c r="P448" s="28">
        <v>0</v>
      </c>
    </row>
    <row r="449" spans="1:16" x14ac:dyDescent="0.25">
      <c r="A449" s="27">
        <v>45005</v>
      </c>
      <c r="B449" s="23">
        <v>127</v>
      </c>
      <c r="C449" s="23">
        <v>111</v>
      </c>
      <c r="D449" s="23">
        <v>104</v>
      </c>
      <c r="E449" s="23">
        <v>7</v>
      </c>
      <c r="F449" s="23">
        <v>14</v>
      </c>
      <c r="G449" s="23">
        <v>2</v>
      </c>
      <c r="H449" s="23">
        <v>7</v>
      </c>
      <c r="I449" s="23">
        <v>13</v>
      </c>
      <c r="J449" s="23">
        <v>15</v>
      </c>
      <c r="K449" s="23">
        <v>10</v>
      </c>
      <c r="L449" s="23">
        <v>15</v>
      </c>
      <c r="M449" s="23">
        <v>9</v>
      </c>
      <c r="N449" s="23">
        <v>12</v>
      </c>
      <c r="O449" s="23">
        <v>10</v>
      </c>
      <c r="P449" s="28">
        <v>13</v>
      </c>
    </row>
    <row r="450" spans="1:16" x14ac:dyDescent="0.25">
      <c r="A450" s="27">
        <v>45006</v>
      </c>
      <c r="B450" s="23">
        <v>122</v>
      </c>
      <c r="C450" s="23">
        <v>115</v>
      </c>
      <c r="D450" s="23">
        <v>108</v>
      </c>
      <c r="E450" s="23">
        <v>7</v>
      </c>
      <c r="F450" s="23">
        <v>7</v>
      </c>
      <c r="G450" s="23">
        <v>0</v>
      </c>
      <c r="H450" s="23">
        <v>4</v>
      </c>
      <c r="I450" s="23">
        <v>14</v>
      </c>
      <c r="J450" s="23">
        <v>6</v>
      </c>
      <c r="K450" s="23">
        <v>20</v>
      </c>
      <c r="L450" s="23">
        <v>14</v>
      </c>
      <c r="M450" s="23">
        <v>19</v>
      </c>
      <c r="N450" s="23">
        <v>10</v>
      </c>
      <c r="O450" s="23">
        <v>13</v>
      </c>
      <c r="P450" s="28">
        <v>8</v>
      </c>
    </row>
    <row r="451" spans="1:16" x14ac:dyDescent="0.25">
      <c r="A451" s="27">
        <v>45007</v>
      </c>
      <c r="B451" s="23">
        <v>144</v>
      </c>
      <c r="C451" s="23">
        <v>130</v>
      </c>
      <c r="D451" s="23">
        <v>122</v>
      </c>
      <c r="E451" s="23">
        <v>8</v>
      </c>
      <c r="F451" s="23">
        <v>14</v>
      </c>
      <c r="G451" s="23">
        <v>0</v>
      </c>
      <c r="H451" s="23">
        <v>6</v>
      </c>
      <c r="I451" s="23">
        <v>29</v>
      </c>
      <c r="J451" s="23">
        <v>10</v>
      </c>
      <c r="K451" s="23">
        <v>15</v>
      </c>
      <c r="L451" s="23">
        <v>11</v>
      </c>
      <c r="M451" s="23">
        <v>10</v>
      </c>
      <c r="N451" s="23">
        <v>10</v>
      </c>
      <c r="O451" s="23">
        <v>20</v>
      </c>
      <c r="P451" s="28">
        <v>11</v>
      </c>
    </row>
    <row r="452" spans="1:16" x14ac:dyDescent="0.25">
      <c r="A452" s="27">
        <v>45008</v>
      </c>
      <c r="B452" s="23">
        <v>158</v>
      </c>
      <c r="C452" s="23">
        <v>133</v>
      </c>
      <c r="D452" s="23">
        <v>124</v>
      </c>
      <c r="E452" s="23">
        <v>9</v>
      </c>
      <c r="F452" s="23">
        <v>24</v>
      </c>
      <c r="G452" s="23">
        <v>1</v>
      </c>
      <c r="H452" s="23">
        <v>9</v>
      </c>
      <c r="I452" s="23">
        <v>16</v>
      </c>
      <c r="J452" s="23">
        <v>13</v>
      </c>
      <c r="K452" s="23">
        <v>9</v>
      </c>
      <c r="L452" s="23">
        <v>10</v>
      </c>
      <c r="M452" s="23">
        <v>17</v>
      </c>
      <c r="N452" s="23">
        <v>12</v>
      </c>
      <c r="O452" s="23">
        <v>26</v>
      </c>
      <c r="P452" s="28">
        <v>12</v>
      </c>
    </row>
    <row r="453" spans="1:16" x14ac:dyDescent="0.25">
      <c r="A453" s="27">
        <v>45009</v>
      </c>
      <c r="B453" s="23">
        <v>148</v>
      </c>
      <c r="C453" s="23">
        <v>133</v>
      </c>
      <c r="D453" s="23">
        <v>124</v>
      </c>
      <c r="E453" s="23">
        <v>9</v>
      </c>
      <c r="F453" s="23">
        <v>14</v>
      </c>
      <c r="G453" s="23">
        <v>1</v>
      </c>
      <c r="H453" s="23">
        <v>11</v>
      </c>
      <c r="I453" s="23">
        <v>21</v>
      </c>
      <c r="J453" s="23">
        <v>12</v>
      </c>
      <c r="K453" s="23">
        <v>14</v>
      </c>
      <c r="L453" s="23">
        <v>11</v>
      </c>
      <c r="M453" s="23">
        <v>14</v>
      </c>
      <c r="N453" s="23">
        <v>17</v>
      </c>
      <c r="O453" s="23">
        <v>12</v>
      </c>
      <c r="P453" s="28">
        <v>12</v>
      </c>
    </row>
    <row r="454" spans="1:16" x14ac:dyDescent="0.25">
      <c r="A454" s="27">
        <v>45010</v>
      </c>
      <c r="B454" s="23">
        <v>1</v>
      </c>
      <c r="C454" s="23">
        <v>1</v>
      </c>
      <c r="D454" s="23">
        <v>1</v>
      </c>
      <c r="E454" s="23">
        <v>0</v>
      </c>
      <c r="F454" s="23">
        <v>0</v>
      </c>
      <c r="G454" s="23">
        <v>0</v>
      </c>
      <c r="H454" s="23">
        <v>0</v>
      </c>
      <c r="I454" s="23">
        <v>0</v>
      </c>
      <c r="J454" s="23">
        <v>0</v>
      </c>
      <c r="K454" s="23">
        <v>0</v>
      </c>
      <c r="L454" s="23">
        <v>1</v>
      </c>
      <c r="M454" s="23">
        <v>0</v>
      </c>
      <c r="N454" s="23">
        <v>0</v>
      </c>
      <c r="O454" s="23">
        <v>0</v>
      </c>
      <c r="P454" s="28">
        <v>0</v>
      </c>
    </row>
    <row r="455" spans="1:16" x14ac:dyDescent="0.25">
      <c r="A455" s="27">
        <v>45011</v>
      </c>
      <c r="B455" s="23">
        <v>0</v>
      </c>
      <c r="C455" s="23">
        <v>0</v>
      </c>
      <c r="D455" s="23">
        <v>0</v>
      </c>
      <c r="E455" s="23">
        <v>0</v>
      </c>
      <c r="F455" s="23">
        <v>0</v>
      </c>
      <c r="G455" s="23">
        <v>0</v>
      </c>
      <c r="H455" s="23">
        <v>0</v>
      </c>
      <c r="I455" s="23">
        <v>0</v>
      </c>
      <c r="J455" s="23">
        <v>0</v>
      </c>
      <c r="K455" s="23">
        <v>0</v>
      </c>
      <c r="L455" s="23">
        <v>0</v>
      </c>
      <c r="M455" s="23">
        <v>0</v>
      </c>
      <c r="N455" s="23">
        <v>0</v>
      </c>
      <c r="O455" s="23">
        <v>0</v>
      </c>
      <c r="P455" s="28">
        <v>0</v>
      </c>
    </row>
    <row r="456" spans="1:16" x14ac:dyDescent="0.25">
      <c r="A456" s="27">
        <v>45012</v>
      </c>
      <c r="B456" s="23">
        <v>144</v>
      </c>
      <c r="C456" s="23">
        <v>130</v>
      </c>
      <c r="D456" s="23">
        <v>120</v>
      </c>
      <c r="E456" s="23">
        <v>10</v>
      </c>
      <c r="F456" s="23">
        <v>10</v>
      </c>
      <c r="G456" s="23">
        <v>4</v>
      </c>
      <c r="H456" s="23">
        <v>9</v>
      </c>
      <c r="I456" s="23">
        <v>18</v>
      </c>
      <c r="J456" s="23">
        <v>15</v>
      </c>
      <c r="K456" s="23">
        <v>9</v>
      </c>
      <c r="L456" s="23">
        <v>17</v>
      </c>
      <c r="M456" s="23">
        <v>12</v>
      </c>
      <c r="N456" s="23">
        <v>13</v>
      </c>
      <c r="O456" s="23">
        <v>13</v>
      </c>
      <c r="P456" s="28">
        <v>14</v>
      </c>
    </row>
    <row r="457" spans="1:16" x14ac:dyDescent="0.25">
      <c r="A457" s="27">
        <v>45013</v>
      </c>
      <c r="B457" s="23">
        <v>168</v>
      </c>
      <c r="C457" s="23">
        <v>145</v>
      </c>
      <c r="D457" s="23">
        <v>138</v>
      </c>
      <c r="E457" s="23">
        <v>7</v>
      </c>
      <c r="F457" s="23">
        <v>19</v>
      </c>
      <c r="G457" s="23">
        <v>4</v>
      </c>
      <c r="H457" s="23">
        <v>4</v>
      </c>
      <c r="I457" s="23">
        <v>18</v>
      </c>
      <c r="J457" s="23">
        <v>16</v>
      </c>
      <c r="K457" s="23">
        <v>11</v>
      </c>
      <c r="L457" s="23">
        <v>15</v>
      </c>
      <c r="M457" s="23">
        <v>26</v>
      </c>
      <c r="N457" s="23">
        <v>12</v>
      </c>
      <c r="O457" s="23">
        <v>18</v>
      </c>
      <c r="P457" s="28">
        <v>18</v>
      </c>
    </row>
    <row r="458" spans="1:16" x14ac:dyDescent="0.25">
      <c r="A458" s="27">
        <v>45014</v>
      </c>
      <c r="B458" s="23">
        <v>133</v>
      </c>
      <c r="C458" s="23">
        <v>112</v>
      </c>
      <c r="D458" s="23">
        <v>106</v>
      </c>
      <c r="E458" s="23">
        <v>6</v>
      </c>
      <c r="F458" s="23">
        <v>19</v>
      </c>
      <c r="G458" s="23">
        <v>2</v>
      </c>
      <c r="H458" s="23">
        <v>4</v>
      </c>
      <c r="I458" s="23">
        <v>14</v>
      </c>
      <c r="J458" s="23">
        <v>8</v>
      </c>
      <c r="K458" s="23">
        <v>12</v>
      </c>
      <c r="L458" s="23">
        <v>13</v>
      </c>
      <c r="M458" s="23">
        <v>15</v>
      </c>
      <c r="N458" s="23">
        <v>9</v>
      </c>
      <c r="O458" s="23">
        <v>19</v>
      </c>
      <c r="P458" s="28">
        <v>12</v>
      </c>
    </row>
    <row r="459" spans="1:16" x14ac:dyDescent="0.25">
      <c r="A459" s="27">
        <v>45015</v>
      </c>
      <c r="B459" s="23">
        <v>148</v>
      </c>
      <c r="C459" s="23">
        <v>125</v>
      </c>
      <c r="D459" s="23">
        <v>121</v>
      </c>
      <c r="E459" s="23">
        <v>4</v>
      </c>
      <c r="F459" s="23">
        <v>18</v>
      </c>
      <c r="G459" s="23">
        <v>5</v>
      </c>
      <c r="H459" s="23">
        <v>12</v>
      </c>
      <c r="I459" s="23">
        <v>19</v>
      </c>
      <c r="J459" s="23">
        <v>15</v>
      </c>
      <c r="K459" s="23">
        <v>7</v>
      </c>
      <c r="L459" s="23">
        <v>15</v>
      </c>
      <c r="M459" s="23">
        <v>15</v>
      </c>
      <c r="N459" s="23">
        <v>14</v>
      </c>
      <c r="O459" s="23">
        <v>15</v>
      </c>
      <c r="P459" s="28">
        <v>9</v>
      </c>
    </row>
    <row r="460" spans="1:16" x14ac:dyDescent="0.25">
      <c r="A460" s="27">
        <v>45016</v>
      </c>
      <c r="B460" s="23">
        <v>136</v>
      </c>
      <c r="C460" s="23">
        <v>121</v>
      </c>
      <c r="D460" s="23">
        <v>113</v>
      </c>
      <c r="E460" s="23">
        <v>8</v>
      </c>
      <c r="F460" s="23">
        <v>15</v>
      </c>
      <c r="G460" s="23">
        <v>0</v>
      </c>
      <c r="H460" s="23">
        <v>6</v>
      </c>
      <c r="I460" s="23">
        <v>18</v>
      </c>
      <c r="J460" s="23">
        <v>12</v>
      </c>
      <c r="K460" s="23">
        <v>14</v>
      </c>
      <c r="L460" s="23">
        <v>15</v>
      </c>
      <c r="M460" s="23">
        <v>14</v>
      </c>
      <c r="N460" s="23">
        <v>4</v>
      </c>
      <c r="O460" s="23">
        <v>19</v>
      </c>
      <c r="P460" s="28">
        <v>11</v>
      </c>
    </row>
    <row r="461" spans="1:16" x14ac:dyDescent="0.25">
      <c r="A461" s="27">
        <v>45017</v>
      </c>
      <c r="B461" s="23">
        <v>9</v>
      </c>
      <c r="C461" s="23">
        <v>9</v>
      </c>
      <c r="D461" s="23">
        <v>9</v>
      </c>
      <c r="E461" s="23">
        <v>0</v>
      </c>
      <c r="F461" s="23">
        <v>0</v>
      </c>
      <c r="G461" s="23">
        <v>0</v>
      </c>
      <c r="H461" s="23">
        <v>1</v>
      </c>
      <c r="I461" s="23">
        <v>2</v>
      </c>
      <c r="J461" s="23">
        <v>1</v>
      </c>
      <c r="K461" s="23">
        <v>2</v>
      </c>
      <c r="L461" s="23">
        <v>1</v>
      </c>
      <c r="M461" s="23">
        <v>1</v>
      </c>
      <c r="N461" s="23">
        <v>0</v>
      </c>
      <c r="O461" s="23">
        <v>0</v>
      </c>
      <c r="P461" s="28">
        <v>1</v>
      </c>
    </row>
    <row r="462" spans="1:16" x14ac:dyDescent="0.25">
      <c r="A462" s="27">
        <v>45018</v>
      </c>
      <c r="B462" s="23">
        <v>0</v>
      </c>
      <c r="C462" s="23">
        <v>0</v>
      </c>
      <c r="D462" s="23">
        <v>0</v>
      </c>
      <c r="E462" s="23">
        <v>0</v>
      </c>
      <c r="F462" s="23">
        <v>0</v>
      </c>
      <c r="G462" s="23">
        <v>0</v>
      </c>
      <c r="H462" s="23">
        <v>0</v>
      </c>
      <c r="I462" s="23">
        <v>0</v>
      </c>
      <c r="J462" s="23">
        <v>0</v>
      </c>
      <c r="K462" s="23">
        <v>0</v>
      </c>
      <c r="L462" s="23">
        <v>0</v>
      </c>
      <c r="M462" s="23">
        <v>0</v>
      </c>
      <c r="N462" s="23">
        <v>0</v>
      </c>
      <c r="O462" s="23">
        <v>0</v>
      </c>
      <c r="P462" s="28">
        <v>0</v>
      </c>
    </row>
    <row r="463" spans="1:16" x14ac:dyDescent="0.25">
      <c r="A463" s="27">
        <v>45019</v>
      </c>
      <c r="B463" s="23">
        <v>117</v>
      </c>
      <c r="C463" s="23">
        <v>99</v>
      </c>
      <c r="D463" s="23">
        <v>90</v>
      </c>
      <c r="E463" s="23">
        <v>9</v>
      </c>
      <c r="F463" s="23">
        <v>16</v>
      </c>
      <c r="G463" s="23">
        <v>2</v>
      </c>
      <c r="H463" s="23">
        <v>7</v>
      </c>
      <c r="I463" s="23">
        <v>16</v>
      </c>
      <c r="J463" s="23">
        <v>5</v>
      </c>
      <c r="K463" s="23">
        <v>6</v>
      </c>
      <c r="L463" s="23">
        <v>9</v>
      </c>
      <c r="M463" s="23">
        <v>9</v>
      </c>
      <c r="N463" s="23">
        <v>12</v>
      </c>
      <c r="O463" s="23">
        <v>20</v>
      </c>
      <c r="P463" s="28">
        <v>6</v>
      </c>
    </row>
    <row r="464" spans="1:16" x14ac:dyDescent="0.25">
      <c r="A464" s="27">
        <v>45020</v>
      </c>
      <c r="B464" s="23">
        <v>154</v>
      </c>
      <c r="C464" s="23">
        <v>134</v>
      </c>
      <c r="D464" s="23">
        <v>126</v>
      </c>
      <c r="E464" s="23">
        <v>7</v>
      </c>
      <c r="F464" s="23">
        <v>16</v>
      </c>
      <c r="G464" s="23">
        <v>4</v>
      </c>
      <c r="H464" s="23">
        <v>4</v>
      </c>
      <c r="I464" s="23">
        <v>17</v>
      </c>
      <c r="J464" s="23">
        <v>12</v>
      </c>
      <c r="K464" s="23">
        <v>11</v>
      </c>
      <c r="L464" s="23">
        <v>13</v>
      </c>
      <c r="M464" s="23">
        <v>16</v>
      </c>
      <c r="N464" s="23">
        <v>12</v>
      </c>
      <c r="O464" s="23">
        <v>25</v>
      </c>
      <c r="P464" s="28">
        <v>16</v>
      </c>
    </row>
    <row r="465" spans="1:16" x14ac:dyDescent="0.25">
      <c r="A465" s="27">
        <v>45021</v>
      </c>
      <c r="B465" s="23">
        <v>147</v>
      </c>
      <c r="C465" s="23">
        <v>129</v>
      </c>
      <c r="D465" s="23">
        <v>122</v>
      </c>
      <c r="E465" s="23">
        <v>7</v>
      </c>
      <c r="F465" s="23">
        <v>16</v>
      </c>
      <c r="G465" s="23">
        <v>2</v>
      </c>
      <c r="H465" s="23">
        <v>6</v>
      </c>
      <c r="I465" s="23">
        <v>17</v>
      </c>
      <c r="J465" s="23">
        <v>12</v>
      </c>
      <c r="K465" s="23">
        <v>13</v>
      </c>
      <c r="L465" s="23">
        <v>10</v>
      </c>
      <c r="M465" s="23">
        <v>13</v>
      </c>
      <c r="N465" s="23">
        <v>10</v>
      </c>
      <c r="O465" s="23">
        <v>30</v>
      </c>
      <c r="P465" s="28">
        <v>11</v>
      </c>
    </row>
    <row r="466" spans="1:16" x14ac:dyDescent="0.25">
      <c r="A466" s="27">
        <v>45022</v>
      </c>
      <c r="B466" s="23">
        <v>162</v>
      </c>
      <c r="C466" s="23">
        <v>142</v>
      </c>
      <c r="D466" s="23">
        <v>137</v>
      </c>
      <c r="E466" s="23">
        <v>5</v>
      </c>
      <c r="F466" s="23">
        <v>17</v>
      </c>
      <c r="G466" s="23">
        <v>3</v>
      </c>
      <c r="H466" s="23">
        <v>8</v>
      </c>
      <c r="I466" s="23">
        <v>20</v>
      </c>
      <c r="J466" s="23">
        <v>18</v>
      </c>
      <c r="K466" s="23">
        <v>15</v>
      </c>
      <c r="L466" s="23">
        <v>16</v>
      </c>
      <c r="M466" s="23">
        <v>23</v>
      </c>
      <c r="N466" s="23">
        <v>8</v>
      </c>
      <c r="O466" s="23">
        <v>21</v>
      </c>
      <c r="P466" s="28">
        <v>8</v>
      </c>
    </row>
    <row r="467" spans="1:16" x14ac:dyDescent="0.25">
      <c r="A467" s="27">
        <v>45023</v>
      </c>
      <c r="B467" s="23">
        <v>5</v>
      </c>
      <c r="C467" s="23">
        <v>0</v>
      </c>
      <c r="D467" s="23">
        <v>0</v>
      </c>
      <c r="E467" s="23">
        <v>0</v>
      </c>
      <c r="F467" s="23">
        <v>4</v>
      </c>
      <c r="G467" s="23">
        <v>1</v>
      </c>
      <c r="H467" s="23">
        <v>0</v>
      </c>
      <c r="I467" s="23">
        <v>0</v>
      </c>
      <c r="J467" s="23">
        <v>0</v>
      </c>
      <c r="K467" s="23">
        <v>0</v>
      </c>
      <c r="L467" s="23">
        <v>0</v>
      </c>
      <c r="M467" s="23">
        <v>0</v>
      </c>
      <c r="N467" s="23">
        <v>0</v>
      </c>
      <c r="O467" s="23">
        <v>0</v>
      </c>
      <c r="P467" s="28">
        <v>0</v>
      </c>
    </row>
    <row r="468" spans="1:16" x14ac:dyDescent="0.25">
      <c r="A468" s="27">
        <v>45024</v>
      </c>
      <c r="B468" s="23">
        <v>10</v>
      </c>
      <c r="C468" s="23">
        <v>10</v>
      </c>
      <c r="D468" s="23">
        <v>8</v>
      </c>
      <c r="E468" s="23">
        <v>2</v>
      </c>
      <c r="F468" s="23">
        <v>0</v>
      </c>
      <c r="G468" s="23">
        <v>0</v>
      </c>
      <c r="H468" s="23">
        <v>0</v>
      </c>
      <c r="I468" s="23">
        <v>2</v>
      </c>
      <c r="J468" s="23">
        <v>0</v>
      </c>
      <c r="K468" s="23">
        <v>1</v>
      </c>
      <c r="L468" s="23">
        <v>0</v>
      </c>
      <c r="M468" s="23">
        <v>4</v>
      </c>
      <c r="N468" s="23">
        <v>1</v>
      </c>
      <c r="O468" s="23">
        <v>0</v>
      </c>
      <c r="P468" s="28">
        <v>0</v>
      </c>
    </row>
    <row r="469" spans="1:16" x14ac:dyDescent="0.25">
      <c r="A469" s="27">
        <v>45025</v>
      </c>
      <c r="B469" s="23">
        <v>1</v>
      </c>
      <c r="C469" s="23">
        <v>0</v>
      </c>
      <c r="D469" s="23">
        <v>0</v>
      </c>
      <c r="E469" s="23">
        <v>0</v>
      </c>
      <c r="F469" s="23">
        <v>1</v>
      </c>
      <c r="G469" s="23">
        <v>0</v>
      </c>
      <c r="H469" s="23">
        <v>0</v>
      </c>
      <c r="I469" s="23">
        <v>0</v>
      </c>
      <c r="J469" s="23">
        <v>0</v>
      </c>
      <c r="K469" s="23">
        <v>0</v>
      </c>
      <c r="L469" s="23">
        <v>0</v>
      </c>
      <c r="M469" s="23">
        <v>0</v>
      </c>
      <c r="N469" s="23">
        <v>0</v>
      </c>
      <c r="O469" s="23">
        <v>0</v>
      </c>
      <c r="P469" s="28">
        <v>0</v>
      </c>
    </row>
    <row r="470" spans="1:16" x14ac:dyDescent="0.25">
      <c r="A470" s="27">
        <v>45026</v>
      </c>
      <c r="B470" s="23">
        <v>6</v>
      </c>
      <c r="C470" s="23">
        <v>1</v>
      </c>
      <c r="D470" s="23">
        <v>0</v>
      </c>
      <c r="E470" s="23">
        <v>1</v>
      </c>
      <c r="F470" s="23">
        <v>5</v>
      </c>
      <c r="G470" s="23">
        <v>0</v>
      </c>
      <c r="H470" s="23">
        <v>0</v>
      </c>
      <c r="I470" s="23">
        <v>0</v>
      </c>
      <c r="J470" s="23">
        <v>0</v>
      </c>
      <c r="K470" s="23">
        <v>0</v>
      </c>
      <c r="L470" s="23">
        <v>0</v>
      </c>
      <c r="M470" s="23">
        <v>0</v>
      </c>
      <c r="N470" s="23">
        <v>0</v>
      </c>
      <c r="O470" s="23">
        <v>0</v>
      </c>
      <c r="P470" s="28">
        <v>0</v>
      </c>
    </row>
    <row r="471" spans="1:16" x14ac:dyDescent="0.25">
      <c r="A471" s="27">
        <v>45027</v>
      </c>
      <c r="B471" s="23">
        <v>125</v>
      </c>
      <c r="C471" s="23">
        <v>105</v>
      </c>
      <c r="D471" s="23">
        <v>100</v>
      </c>
      <c r="E471" s="23">
        <v>5</v>
      </c>
      <c r="F471" s="23">
        <v>19</v>
      </c>
      <c r="G471" s="23">
        <v>1</v>
      </c>
      <c r="H471" s="23">
        <v>8</v>
      </c>
      <c r="I471" s="23">
        <v>14</v>
      </c>
      <c r="J471" s="23">
        <v>6</v>
      </c>
      <c r="K471" s="23">
        <v>14</v>
      </c>
      <c r="L471" s="23">
        <v>10</v>
      </c>
      <c r="M471" s="23">
        <v>15</v>
      </c>
      <c r="N471" s="23">
        <v>9</v>
      </c>
      <c r="O471" s="23">
        <v>18</v>
      </c>
      <c r="P471" s="28">
        <v>6</v>
      </c>
    </row>
    <row r="472" spans="1:16" x14ac:dyDescent="0.25">
      <c r="A472" s="27">
        <v>45028</v>
      </c>
      <c r="B472" s="23">
        <v>158</v>
      </c>
      <c r="C472" s="23">
        <v>127</v>
      </c>
      <c r="D472" s="23">
        <v>121</v>
      </c>
      <c r="E472" s="23">
        <v>4</v>
      </c>
      <c r="F472" s="23">
        <v>25</v>
      </c>
      <c r="G472" s="23">
        <v>6</v>
      </c>
      <c r="H472" s="23">
        <v>11</v>
      </c>
      <c r="I472" s="23">
        <v>24</v>
      </c>
      <c r="J472" s="23">
        <v>8</v>
      </c>
      <c r="K472" s="23">
        <v>8</v>
      </c>
      <c r="L472" s="23">
        <v>13</v>
      </c>
      <c r="M472" s="23">
        <v>14</v>
      </c>
      <c r="N472" s="23">
        <v>7</v>
      </c>
      <c r="O472" s="23">
        <v>19</v>
      </c>
      <c r="P472" s="28">
        <v>17</v>
      </c>
    </row>
    <row r="473" spans="1:16" x14ac:dyDescent="0.25">
      <c r="A473" s="27">
        <v>45029</v>
      </c>
      <c r="B473" s="23">
        <v>132</v>
      </c>
      <c r="C473" s="23">
        <v>117</v>
      </c>
      <c r="D473" s="23">
        <v>110</v>
      </c>
      <c r="E473" s="23">
        <v>7</v>
      </c>
      <c r="F473" s="23">
        <v>14</v>
      </c>
      <c r="G473" s="23">
        <v>1</v>
      </c>
      <c r="H473" s="23">
        <v>13</v>
      </c>
      <c r="I473" s="23">
        <v>12</v>
      </c>
      <c r="J473" s="23">
        <v>8</v>
      </c>
      <c r="K473" s="23">
        <v>7</v>
      </c>
      <c r="L473" s="23">
        <v>13</v>
      </c>
      <c r="M473" s="23">
        <v>13</v>
      </c>
      <c r="N473" s="23">
        <v>10</v>
      </c>
      <c r="O473" s="23">
        <v>21</v>
      </c>
      <c r="P473" s="28">
        <v>13</v>
      </c>
    </row>
    <row r="474" spans="1:16" x14ac:dyDescent="0.25">
      <c r="A474" s="27">
        <v>45030</v>
      </c>
      <c r="B474" s="23">
        <v>116</v>
      </c>
      <c r="C474" s="23">
        <v>105</v>
      </c>
      <c r="D474" s="23">
        <v>100</v>
      </c>
      <c r="E474" s="23">
        <v>4</v>
      </c>
      <c r="F474" s="23">
        <v>10</v>
      </c>
      <c r="G474" s="23">
        <v>1</v>
      </c>
      <c r="H474" s="23">
        <v>5</v>
      </c>
      <c r="I474" s="23">
        <v>17</v>
      </c>
      <c r="J474" s="23">
        <v>8</v>
      </c>
      <c r="K474" s="23">
        <v>10</v>
      </c>
      <c r="L474" s="23">
        <v>10</v>
      </c>
      <c r="M474" s="23">
        <v>12</v>
      </c>
      <c r="N474" s="23">
        <v>8</v>
      </c>
      <c r="O474" s="23">
        <v>18</v>
      </c>
      <c r="P474" s="28">
        <v>12</v>
      </c>
    </row>
    <row r="475" spans="1:16" x14ac:dyDescent="0.25">
      <c r="A475" s="27">
        <v>45031</v>
      </c>
      <c r="B475" s="23">
        <v>8</v>
      </c>
      <c r="C475" s="23">
        <v>8</v>
      </c>
      <c r="D475" s="23">
        <v>7</v>
      </c>
      <c r="E475" s="23">
        <v>1</v>
      </c>
      <c r="F475" s="23">
        <v>0</v>
      </c>
      <c r="G475" s="23">
        <v>0</v>
      </c>
      <c r="H475" s="23">
        <v>1</v>
      </c>
      <c r="I475" s="23">
        <v>0</v>
      </c>
      <c r="J475" s="23">
        <v>1</v>
      </c>
      <c r="K475" s="23">
        <v>1</v>
      </c>
      <c r="L475" s="23">
        <v>1</v>
      </c>
      <c r="M475" s="23">
        <v>1</v>
      </c>
      <c r="N475" s="23">
        <v>2</v>
      </c>
      <c r="O475" s="23">
        <v>0</v>
      </c>
      <c r="P475" s="28">
        <v>0</v>
      </c>
    </row>
    <row r="476" spans="1:16" x14ac:dyDescent="0.25">
      <c r="A476" s="27">
        <v>45032</v>
      </c>
      <c r="B476" s="23">
        <v>0</v>
      </c>
      <c r="C476" s="23">
        <v>0</v>
      </c>
      <c r="D476" s="23">
        <v>0</v>
      </c>
      <c r="E476" s="23">
        <v>0</v>
      </c>
      <c r="F476" s="23">
        <v>0</v>
      </c>
      <c r="G476" s="23">
        <v>0</v>
      </c>
      <c r="H476" s="23">
        <v>0</v>
      </c>
      <c r="I476" s="23">
        <v>0</v>
      </c>
      <c r="J476" s="23">
        <v>0</v>
      </c>
      <c r="K476" s="23">
        <v>0</v>
      </c>
      <c r="L476" s="23">
        <v>0</v>
      </c>
      <c r="M476" s="23">
        <v>0</v>
      </c>
      <c r="N476" s="23">
        <v>0</v>
      </c>
      <c r="O476" s="23">
        <v>0</v>
      </c>
      <c r="P476" s="28">
        <v>0</v>
      </c>
    </row>
    <row r="477" spans="1:16" x14ac:dyDescent="0.25">
      <c r="A477" s="27">
        <v>45033</v>
      </c>
      <c r="B477" s="23">
        <v>133</v>
      </c>
      <c r="C477" s="23">
        <v>120</v>
      </c>
      <c r="D477" s="23">
        <v>113</v>
      </c>
      <c r="E477" s="23">
        <v>7</v>
      </c>
      <c r="F477" s="23">
        <v>13</v>
      </c>
      <c r="G477" s="23">
        <v>0</v>
      </c>
      <c r="H477" s="23">
        <v>10</v>
      </c>
      <c r="I477" s="23">
        <v>19</v>
      </c>
      <c r="J477" s="23">
        <v>9</v>
      </c>
      <c r="K477" s="23">
        <v>15</v>
      </c>
      <c r="L477" s="23">
        <v>6</v>
      </c>
      <c r="M477" s="23">
        <v>14</v>
      </c>
      <c r="N477" s="23">
        <v>11</v>
      </c>
      <c r="O477" s="23">
        <v>19</v>
      </c>
      <c r="P477" s="28">
        <v>10</v>
      </c>
    </row>
    <row r="478" spans="1:16" x14ac:dyDescent="0.25">
      <c r="A478" s="27">
        <v>45034</v>
      </c>
      <c r="B478" s="23">
        <v>134</v>
      </c>
      <c r="C478" s="23">
        <v>116</v>
      </c>
      <c r="D478" s="23">
        <v>112</v>
      </c>
      <c r="E478" s="23">
        <v>4</v>
      </c>
      <c r="F478" s="23">
        <v>16</v>
      </c>
      <c r="G478" s="23">
        <v>2</v>
      </c>
      <c r="H478" s="23">
        <v>9</v>
      </c>
      <c r="I478" s="23">
        <v>15</v>
      </c>
      <c r="J478" s="23">
        <v>7</v>
      </c>
      <c r="K478" s="23">
        <v>11</v>
      </c>
      <c r="L478" s="23">
        <v>5</v>
      </c>
      <c r="M478" s="23">
        <v>20</v>
      </c>
      <c r="N478" s="23">
        <v>3</v>
      </c>
      <c r="O478" s="23">
        <v>26</v>
      </c>
      <c r="P478" s="28">
        <v>16</v>
      </c>
    </row>
    <row r="479" spans="1:16" x14ac:dyDescent="0.25">
      <c r="A479" s="27">
        <v>45035</v>
      </c>
      <c r="B479" s="23">
        <v>130</v>
      </c>
      <c r="C479" s="23">
        <v>113</v>
      </c>
      <c r="D479" s="23">
        <v>104</v>
      </c>
      <c r="E479" s="23">
        <v>9</v>
      </c>
      <c r="F479" s="23">
        <v>17</v>
      </c>
      <c r="G479" s="23">
        <v>0</v>
      </c>
      <c r="H479" s="23">
        <v>4</v>
      </c>
      <c r="I479" s="23">
        <v>18</v>
      </c>
      <c r="J479" s="23">
        <v>12</v>
      </c>
      <c r="K479" s="23">
        <v>12</v>
      </c>
      <c r="L479" s="23">
        <v>9</v>
      </c>
      <c r="M479" s="23">
        <v>12</v>
      </c>
      <c r="N479" s="23">
        <v>7</v>
      </c>
      <c r="O479" s="23">
        <v>20</v>
      </c>
      <c r="P479" s="28">
        <v>10</v>
      </c>
    </row>
    <row r="480" spans="1:16" x14ac:dyDescent="0.25">
      <c r="A480" s="27">
        <v>45036</v>
      </c>
      <c r="B480" s="23">
        <v>103</v>
      </c>
      <c r="C480" s="23">
        <v>87</v>
      </c>
      <c r="D480" s="23">
        <v>81</v>
      </c>
      <c r="E480" s="23">
        <v>6</v>
      </c>
      <c r="F480" s="23">
        <v>14</v>
      </c>
      <c r="G480" s="23">
        <v>2</v>
      </c>
      <c r="H480" s="23">
        <v>7</v>
      </c>
      <c r="I480" s="23">
        <v>13</v>
      </c>
      <c r="J480" s="23">
        <v>10</v>
      </c>
      <c r="K480" s="23">
        <v>3</v>
      </c>
      <c r="L480" s="23">
        <v>13</v>
      </c>
      <c r="M480" s="23">
        <v>5</v>
      </c>
      <c r="N480" s="23">
        <v>9</v>
      </c>
      <c r="O480" s="23">
        <v>12</v>
      </c>
      <c r="P480" s="28">
        <v>9</v>
      </c>
    </row>
    <row r="481" spans="1:16" x14ac:dyDescent="0.25">
      <c r="A481" s="27">
        <v>45037</v>
      </c>
      <c r="B481" s="23">
        <v>107</v>
      </c>
      <c r="C481" s="23">
        <v>94</v>
      </c>
      <c r="D481" s="23">
        <v>91</v>
      </c>
      <c r="E481" s="23">
        <v>3</v>
      </c>
      <c r="F481" s="23">
        <v>9</v>
      </c>
      <c r="G481" s="23">
        <v>4</v>
      </c>
      <c r="H481" s="23">
        <v>6</v>
      </c>
      <c r="I481" s="23">
        <v>9</v>
      </c>
      <c r="J481" s="23">
        <v>10</v>
      </c>
      <c r="K481" s="23">
        <v>8</v>
      </c>
      <c r="L481" s="23">
        <v>14</v>
      </c>
      <c r="M481" s="23">
        <v>12</v>
      </c>
      <c r="N481" s="23">
        <v>9</v>
      </c>
      <c r="O481" s="23">
        <v>15</v>
      </c>
      <c r="P481" s="28">
        <v>8</v>
      </c>
    </row>
    <row r="482" spans="1:16" x14ac:dyDescent="0.25">
      <c r="A482" s="27">
        <v>45038</v>
      </c>
      <c r="B482" s="23">
        <v>8</v>
      </c>
      <c r="C482" s="23">
        <v>8</v>
      </c>
      <c r="D482" s="23">
        <v>8</v>
      </c>
      <c r="E482" s="23">
        <v>0</v>
      </c>
      <c r="F482" s="23">
        <v>0</v>
      </c>
      <c r="G482" s="23">
        <v>0</v>
      </c>
      <c r="H482" s="23">
        <v>1</v>
      </c>
      <c r="I482" s="23">
        <v>2</v>
      </c>
      <c r="J482" s="23">
        <v>1</v>
      </c>
      <c r="K482" s="23">
        <v>1</v>
      </c>
      <c r="L482" s="23">
        <v>1</v>
      </c>
      <c r="M482" s="23">
        <v>2</v>
      </c>
      <c r="N482" s="23">
        <v>0</v>
      </c>
      <c r="O482" s="23">
        <v>0</v>
      </c>
      <c r="P482" s="28">
        <v>0</v>
      </c>
    </row>
    <row r="483" spans="1:16" x14ac:dyDescent="0.25">
      <c r="A483" s="27">
        <v>45039</v>
      </c>
      <c r="B483" s="23">
        <v>0</v>
      </c>
      <c r="C483" s="23">
        <v>0</v>
      </c>
      <c r="D483" s="23">
        <v>0</v>
      </c>
      <c r="E483" s="23">
        <v>0</v>
      </c>
      <c r="F483" s="23">
        <v>0</v>
      </c>
      <c r="G483" s="23">
        <v>0</v>
      </c>
      <c r="H483" s="23">
        <v>0</v>
      </c>
      <c r="I483" s="23">
        <v>0</v>
      </c>
      <c r="J483" s="23">
        <v>0</v>
      </c>
      <c r="K483" s="23">
        <v>0</v>
      </c>
      <c r="L483" s="23">
        <v>0</v>
      </c>
      <c r="M483" s="23">
        <v>0</v>
      </c>
      <c r="N483" s="23">
        <v>0</v>
      </c>
      <c r="O483" s="23">
        <v>0</v>
      </c>
      <c r="P483" s="28">
        <v>0</v>
      </c>
    </row>
    <row r="484" spans="1:16" x14ac:dyDescent="0.25">
      <c r="A484" s="27">
        <v>45040</v>
      </c>
      <c r="B484" s="23">
        <v>105</v>
      </c>
      <c r="C484" s="23">
        <v>83</v>
      </c>
      <c r="D484" s="23">
        <v>81</v>
      </c>
      <c r="E484" s="23">
        <v>2</v>
      </c>
      <c r="F484" s="23">
        <v>19</v>
      </c>
      <c r="G484" s="23">
        <v>3</v>
      </c>
      <c r="H484" s="23">
        <v>2</v>
      </c>
      <c r="I484" s="23">
        <v>10</v>
      </c>
      <c r="J484" s="23">
        <v>13</v>
      </c>
      <c r="K484" s="23">
        <v>5</v>
      </c>
      <c r="L484" s="23">
        <v>12</v>
      </c>
      <c r="M484" s="23">
        <v>10</v>
      </c>
      <c r="N484" s="23">
        <v>7</v>
      </c>
      <c r="O484" s="23">
        <v>12</v>
      </c>
      <c r="P484" s="28">
        <v>10</v>
      </c>
    </row>
    <row r="485" spans="1:16" x14ac:dyDescent="0.25">
      <c r="A485" s="27">
        <v>45041</v>
      </c>
      <c r="B485" s="23">
        <v>110</v>
      </c>
      <c r="C485" s="23">
        <v>95</v>
      </c>
      <c r="D485" s="23">
        <v>87</v>
      </c>
      <c r="E485" s="23">
        <v>8</v>
      </c>
      <c r="F485" s="23">
        <v>12</v>
      </c>
      <c r="G485" s="23">
        <v>3</v>
      </c>
      <c r="H485" s="23">
        <v>4</v>
      </c>
      <c r="I485" s="23">
        <v>11</v>
      </c>
      <c r="J485" s="23">
        <v>9</v>
      </c>
      <c r="K485" s="23">
        <v>7</v>
      </c>
      <c r="L485" s="23">
        <v>14</v>
      </c>
      <c r="M485" s="23">
        <v>11</v>
      </c>
      <c r="N485" s="23">
        <v>10</v>
      </c>
      <c r="O485" s="23">
        <v>15</v>
      </c>
      <c r="P485" s="28">
        <v>6</v>
      </c>
    </row>
    <row r="486" spans="1:16" x14ac:dyDescent="0.25">
      <c r="A486" s="27">
        <v>45042</v>
      </c>
      <c r="B486" s="23">
        <v>104</v>
      </c>
      <c r="C486" s="23">
        <v>89</v>
      </c>
      <c r="D486" s="23">
        <v>87</v>
      </c>
      <c r="E486" s="23">
        <v>2</v>
      </c>
      <c r="F486" s="23">
        <v>11</v>
      </c>
      <c r="G486" s="23">
        <v>4</v>
      </c>
      <c r="H486" s="23">
        <v>4</v>
      </c>
      <c r="I486" s="23">
        <v>14</v>
      </c>
      <c r="J486" s="23">
        <v>6</v>
      </c>
      <c r="K486" s="23">
        <v>12</v>
      </c>
      <c r="L486" s="23">
        <v>13</v>
      </c>
      <c r="M486" s="23">
        <v>10</v>
      </c>
      <c r="N486" s="23">
        <v>7</v>
      </c>
      <c r="O486" s="23">
        <v>15</v>
      </c>
      <c r="P486" s="28">
        <v>6</v>
      </c>
    </row>
    <row r="487" spans="1:16" x14ac:dyDescent="0.25">
      <c r="A487" s="27">
        <v>45043</v>
      </c>
      <c r="B487" s="23">
        <v>95</v>
      </c>
      <c r="C487" s="23">
        <v>85</v>
      </c>
      <c r="D487" s="23">
        <v>80</v>
      </c>
      <c r="E487" s="23">
        <v>5</v>
      </c>
      <c r="F487" s="23">
        <v>6</v>
      </c>
      <c r="G487" s="23">
        <v>4</v>
      </c>
      <c r="H487" s="23">
        <v>5</v>
      </c>
      <c r="I487" s="23">
        <v>14</v>
      </c>
      <c r="J487" s="23">
        <v>14</v>
      </c>
      <c r="K487" s="23">
        <v>6</v>
      </c>
      <c r="L487" s="23">
        <v>7</v>
      </c>
      <c r="M487" s="23">
        <v>6</v>
      </c>
      <c r="N487" s="23">
        <v>4</v>
      </c>
      <c r="O487" s="23">
        <v>15</v>
      </c>
      <c r="P487" s="28">
        <v>9</v>
      </c>
    </row>
    <row r="488" spans="1:16" x14ac:dyDescent="0.25">
      <c r="A488" s="27">
        <v>45044</v>
      </c>
      <c r="B488" s="23">
        <v>110</v>
      </c>
      <c r="C488" s="23">
        <v>99</v>
      </c>
      <c r="D488" s="23">
        <v>93</v>
      </c>
      <c r="E488" s="23">
        <v>6</v>
      </c>
      <c r="F488" s="23">
        <v>11</v>
      </c>
      <c r="G488" s="23">
        <v>0</v>
      </c>
      <c r="H488" s="23">
        <v>6</v>
      </c>
      <c r="I488" s="23">
        <v>11</v>
      </c>
      <c r="J488" s="23">
        <v>8</v>
      </c>
      <c r="K488" s="23">
        <v>13</v>
      </c>
      <c r="L488" s="23">
        <v>10</v>
      </c>
      <c r="M488" s="23">
        <v>9</v>
      </c>
      <c r="N488" s="23">
        <v>13</v>
      </c>
      <c r="O488" s="23">
        <v>14</v>
      </c>
      <c r="P488" s="28">
        <v>9</v>
      </c>
    </row>
    <row r="489" spans="1:16" x14ac:dyDescent="0.25">
      <c r="A489" s="27">
        <v>45045</v>
      </c>
      <c r="B489" s="23">
        <v>5</v>
      </c>
      <c r="C489" s="23">
        <v>5</v>
      </c>
      <c r="D489" s="23">
        <v>5</v>
      </c>
      <c r="E489" s="23">
        <v>0</v>
      </c>
      <c r="F489" s="23">
        <v>0</v>
      </c>
      <c r="G489" s="23">
        <v>0</v>
      </c>
      <c r="H489" s="23">
        <v>1</v>
      </c>
      <c r="I489" s="23">
        <v>1</v>
      </c>
      <c r="J489" s="23">
        <v>0</v>
      </c>
      <c r="K489" s="23">
        <v>1</v>
      </c>
      <c r="L489" s="23">
        <v>0</v>
      </c>
      <c r="M489" s="23">
        <v>1</v>
      </c>
      <c r="N489" s="23">
        <v>0</v>
      </c>
      <c r="O489" s="23">
        <v>1</v>
      </c>
      <c r="P489" s="28">
        <v>0</v>
      </c>
    </row>
    <row r="490" spans="1:16" x14ac:dyDescent="0.25">
      <c r="A490" s="27">
        <v>45046</v>
      </c>
      <c r="B490" s="23">
        <v>0</v>
      </c>
      <c r="C490" s="23">
        <v>0</v>
      </c>
      <c r="D490" s="23">
        <v>0</v>
      </c>
      <c r="E490" s="23">
        <v>0</v>
      </c>
      <c r="F490" s="23">
        <v>0</v>
      </c>
      <c r="G490" s="23">
        <v>0</v>
      </c>
      <c r="H490" s="23">
        <v>0</v>
      </c>
      <c r="I490" s="23">
        <v>0</v>
      </c>
      <c r="J490" s="23">
        <v>0</v>
      </c>
      <c r="K490" s="23">
        <v>0</v>
      </c>
      <c r="L490" s="23">
        <v>0</v>
      </c>
      <c r="M490" s="23">
        <v>0</v>
      </c>
      <c r="N490" s="23">
        <v>0</v>
      </c>
      <c r="O490" s="23">
        <v>0</v>
      </c>
      <c r="P490" s="28">
        <v>0</v>
      </c>
    </row>
    <row r="491" spans="1:16" x14ac:dyDescent="0.25">
      <c r="A491" s="27">
        <v>45047</v>
      </c>
      <c r="B491" s="23">
        <v>4</v>
      </c>
      <c r="C491" s="23">
        <v>0</v>
      </c>
      <c r="D491" s="23">
        <v>0</v>
      </c>
      <c r="E491" s="23">
        <v>0</v>
      </c>
      <c r="F491" s="23">
        <v>4</v>
      </c>
      <c r="G491" s="23">
        <v>0</v>
      </c>
      <c r="H491" s="23">
        <v>0</v>
      </c>
      <c r="I491" s="23">
        <v>0</v>
      </c>
      <c r="J491" s="23">
        <v>0</v>
      </c>
      <c r="K491" s="23">
        <v>0</v>
      </c>
      <c r="L491" s="23">
        <v>0</v>
      </c>
      <c r="M491" s="23">
        <v>0</v>
      </c>
      <c r="N491" s="23">
        <v>0</v>
      </c>
      <c r="O491" s="23">
        <v>0</v>
      </c>
      <c r="P491" s="28">
        <v>0</v>
      </c>
    </row>
    <row r="492" spans="1:16" x14ac:dyDescent="0.25">
      <c r="A492" s="27">
        <v>45048</v>
      </c>
      <c r="B492" s="23">
        <v>92</v>
      </c>
      <c r="C492" s="23">
        <v>82</v>
      </c>
      <c r="D492" s="23">
        <v>73</v>
      </c>
      <c r="E492" s="23">
        <v>9</v>
      </c>
      <c r="F492" s="23">
        <v>8</v>
      </c>
      <c r="G492" s="23">
        <v>2</v>
      </c>
      <c r="H492" s="23">
        <v>4</v>
      </c>
      <c r="I492" s="23">
        <v>8</v>
      </c>
      <c r="J492" s="23">
        <v>10</v>
      </c>
      <c r="K492" s="23">
        <v>9</v>
      </c>
      <c r="L492" s="23">
        <v>11</v>
      </c>
      <c r="M492" s="23">
        <v>3</v>
      </c>
      <c r="N492" s="23">
        <v>10</v>
      </c>
      <c r="O492" s="23">
        <v>13</v>
      </c>
      <c r="P492" s="28">
        <v>5</v>
      </c>
    </row>
    <row r="493" spans="1:16" x14ac:dyDescent="0.25">
      <c r="A493" s="27">
        <v>45049</v>
      </c>
      <c r="B493" s="23">
        <v>77</v>
      </c>
      <c r="C493" s="23">
        <v>62</v>
      </c>
      <c r="D493" s="23">
        <v>58</v>
      </c>
      <c r="E493" s="23">
        <v>4</v>
      </c>
      <c r="F493" s="23">
        <v>14</v>
      </c>
      <c r="G493" s="23">
        <v>1</v>
      </c>
      <c r="H493" s="23">
        <v>1</v>
      </c>
      <c r="I493" s="23">
        <v>11</v>
      </c>
      <c r="J493" s="23">
        <v>3</v>
      </c>
      <c r="K493" s="23">
        <v>6</v>
      </c>
      <c r="L493" s="23">
        <v>6</v>
      </c>
      <c r="M493" s="23">
        <v>9</v>
      </c>
      <c r="N493" s="23">
        <v>7</v>
      </c>
      <c r="O493" s="23">
        <v>11</v>
      </c>
      <c r="P493" s="28">
        <v>4</v>
      </c>
    </row>
    <row r="494" spans="1:16" x14ac:dyDescent="0.25">
      <c r="A494" s="27">
        <v>45050</v>
      </c>
      <c r="B494" s="23">
        <v>99</v>
      </c>
      <c r="C494" s="23">
        <v>84</v>
      </c>
      <c r="D494" s="23">
        <v>80</v>
      </c>
      <c r="E494" s="23">
        <v>4</v>
      </c>
      <c r="F494" s="23">
        <v>10</v>
      </c>
      <c r="G494" s="23">
        <v>5</v>
      </c>
      <c r="H494" s="23">
        <v>2</v>
      </c>
      <c r="I494" s="23">
        <v>10</v>
      </c>
      <c r="J494" s="23">
        <v>4</v>
      </c>
      <c r="K494" s="23">
        <v>10</v>
      </c>
      <c r="L494" s="23">
        <v>11</v>
      </c>
      <c r="M494" s="23">
        <v>16</v>
      </c>
      <c r="N494" s="23">
        <v>6</v>
      </c>
      <c r="O494" s="23">
        <v>16</v>
      </c>
      <c r="P494" s="28">
        <v>5</v>
      </c>
    </row>
    <row r="495" spans="1:16" x14ac:dyDescent="0.25">
      <c r="A495" s="27">
        <v>45051</v>
      </c>
      <c r="B495" s="23">
        <v>90</v>
      </c>
      <c r="C495" s="23">
        <v>77</v>
      </c>
      <c r="D495" s="23">
        <v>70</v>
      </c>
      <c r="E495" s="23">
        <v>7</v>
      </c>
      <c r="F495" s="23">
        <v>9</v>
      </c>
      <c r="G495" s="23">
        <v>4</v>
      </c>
      <c r="H495" s="23">
        <v>3</v>
      </c>
      <c r="I495" s="23">
        <v>7</v>
      </c>
      <c r="J495" s="23">
        <v>6</v>
      </c>
      <c r="K495" s="23">
        <v>7</v>
      </c>
      <c r="L495" s="23">
        <v>4</v>
      </c>
      <c r="M495" s="23">
        <v>17</v>
      </c>
      <c r="N495" s="23">
        <v>8</v>
      </c>
      <c r="O495" s="23">
        <v>9</v>
      </c>
      <c r="P495" s="28">
        <v>9</v>
      </c>
    </row>
    <row r="496" spans="1:16" x14ac:dyDescent="0.25">
      <c r="A496" s="27">
        <v>45052</v>
      </c>
      <c r="B496" s="23">
        <v>3</v>
      </c>
      <c r="C496" s="23">
        <v>3</v>
      </c>
      <c r="D496" s="23">
        <v>3</v>
      </c>
      <c r="E496" s="23">
        <v>0</v>
      </c>
      <c r="F496" s="23">
        <v>0</v>
      </c>
      <c r="G496" s="23">
        <v>0</v>
      </c>
      <c r="H496" s="23">
        <v>0</v>
      </c>
      <c r="I496" s="23">
        <v>1</v>
      </c>
      <c r="J496" s="23">
        <v>0</v>
      </c>
      <c r="K496" s="23">
        <v>1</v>
      </c>
      <c r="L496" s="23">
        <v>0</v>
      </c>
      <c r="M496" s="23">
        <v>1</v>
      </c>
      <c r="N496" s="23">
        <v>0</v>
      </c>
      <c r="O496" s="23">
        <v>0</v>
      </c>
      <c r="P496" s="28">
        <v>0</v>
      </c>
    </row>
    <row r="497" spans="1:16" x14ac:dyDescent="0.25">
      <c r="A497" s="27">
        <v>45053</v>
      </c>
      <c r="B497" s="23">
        <v>0</v>
      </c>
      <c r="C497" s="23">
        <v>0</v>
      </c>
      <c r="D497" s="23">
        <v>0</v>
      </c>
      <c r="E497" s="23">
        <v>0</v>
      </c>
      <c r="F497" s="23">
        <v>0</v>
      </c>
      <c r="G497" s="23">
        <v>0</v>
      </c>
      <c r="H497" s="23">
        <v>0</v>
      </c>
      <c r="I497" s="23">
        <v>0</v>
      </c>
      <c r="J497" s="23">
        <v>0</v>
      </c>
      <c r="K497" s="23">
        <v>0</v>
      </c>
      <c r="L497" s="23">
        <v>0</v>
      </c>
      <c r="M497" s="23">
        <v>0</v>
      </c>
      <c r="N497" s="23">
        <v>0</v>
      </c>
      <c r="O497" s="23">
        <v>0</v>
      </c>
      <c r="P497" s="28">
        <v>0</v>
      </c>
    </row>
    <row r="498" spans="1:16" x14ac:dyDescent="0.25">
      <c r="A498" s="27">
        <v>45054</v>
      </c>
      <c r="B498" s="23">
        <v>1</v>
      </c>
      <c r="C498" s="23">
        <v>1</v>
      </c>
      <c r="D498" s="23">
        <v>1</v>
      </c>
      <c r="E498" s="23">
        <v>0</v>
      </c>
      <c r="F498" s="23">
        <v>0</v>
      </c>
      <c r="G498" s="23">
        <v>0</v>
      </c>
      <c r="H498" s="23">
        <v>0</v>
      </c>
      <c r="I498" s="23">
        <v>0</v>
      </c>
      <c r="J498" s="23">
        <v>1</v>
      </c>
      <c r="K498" s="23">
        <v>0</v>
      </c>
      <c r="L498" s="23">
        <v>0</v>
      </c>
      <c r="M498" s="23">
        <v>0</v>
      </c>
      <c r="N498" s="23">
        <v>0</v>
      </c>
      <c r="O498" s="23">
        <v>0</v>
      </c>
      <c r="P498" s="28">
        <v>0</v>
      </c>
    </row>
    <row r="499" spans="1:16" x14ac:dyDescent="0.25">
      <c r="A499" s="27">
        <v>45055</v>
      </c>
      <c r="B499" s="23">
        <v>84</v>
      </c>
      <c r="C499" s="23">
        <v>72</v>
      </c>
      <c r="D499" s="23">
        <v>62</v>
      </c>
      <c r="E499" s="23">
        <v>10</v>
      </c>
      <c r="F499" s="23">
        <v>9</v>
      </c>
      <c r="G499" s="23">
        <v>3</v>
      </c>
      <c r="H499" s="23">
        <v>5</v>
      </c>
      <c r="I499" s="23">
        <v>5</v>
      </c>
      <c r="J499" s="23">
        <v>6</v>
      </c>
      <c r="K499" s="23">
        <v>4</v>
      </c>
      <c r="L499" s="23">
        <v>4</v>
      </c>
      <c r="M499" s="23">
        <v>12</v>
      </c>
      <c r="N499" s="23">
        <v>5</v>
      </c>
      <c r="O499" s="23">
        <v>13</v>
      </c>
      <c r="P499" s="28">
        <v>8</v>
      </c>
    </row>
    <row r="500" spans="1:16" x14ac:dyDescent="0.25">
      <c r="A500" s="27">
        <v>45056</v>
      </c>
      <c r="B500" s="23">
        <v>84</v>
      </c>
      <c r="C500" s="23">
        <v>69</v>
      </c>
      <c r="D500" s="23">
        <v>64</v>
      </c>
      <c r="E500" s="23">
        <v>5</v>
      </c>
      <c r="F500" s="23">
        <v>9</v>
      </c>
      <c r="G500" s="23">
        <v>6</v>
      </c>
      <c r="H500" s="23">
        <v>4</v>
      </c>
      <c r="I500" s="23">
        <v>11</v>
      </c>
      <c r="J500" s="23">
        <v>6</v>
      </c>
      <c r="K500" s="23">
        <v>3</v>
      </c>
      <c r="L500" s="23">
        <v>6</v>
      </c>
      <c r="M500" s="23">
        <v>11</v>
      </c>
      <c r="N500" s="23">
        <v>5</v>
      </c>
      <c r="O500" s="23">
        <v>10</v>
      </c>
      <c r="P500" s="28">
        <v>8</v>
      </c>
    </row>
    <row r="501" spans="1:16" x14ac:dyDescent="0.25">
      <c r="A501" s="27">
        <v>45057</v>
      </c>
      <c r="B501" s="23">
        <v>84</v>
      </c>
      <c r="C501" s="23">
        <v>74</v>
      </c>
      <c r="D501" s="23">
        <v>70</v>
      </c>
      <c r="E501" s="23">
        <v>4</v>
      </c>
      <c r="F501" s="23">
        <v>8</v>
      </c>
      <c r="G501" s="23">
        <v>2</v>
      </c>
      <c r="H501" s="23">
        <v>6</v>
      </c>
      <c r="I501" s="23">
        <v>8</v>
      </c>
      <c r="J501" s="23">
        <v>10</v>
      </c>
      <c r="K501" s="23">
        <v>7</v>
      </c>
      <c r="L501" s="23">
        <v>6</v>
      </c>
      <c r="M501" s="23">
        <v>13</v>
      </c>
      <c r="N501" s="23">
        <v>7</v>
      </c>
      <c r="O501" s="23">
        <v>5</v>
      </c>
      <c r="P501" s="28">
        <v>8</v>
      </c>
    </row>
    <row r="502" spans="1:16" x14ac:dyDescent="0.25">
      <c r="A502" s="27">
        <v>45058</v>
      </c>
      <c r="B502" s="23">
        <v>97</v>
      </c>
      <c r="C502" s="23">
        <v>90</v>
      </c>
      <c r="D502" s="23">
        <v>83</v>
      </c>
      <c r="E502" s="23">
        <v>7</v>
      </c>
      <c r="F502" s="23">
        <v>4</v>
      </c>
      <c r="G502" s="23">
        <v>3</v>
      </c>
      <c r="H502" s="23">
        <v>9</v>
      </c>
      <c r="I502" s="23">
        <v>7</v>
      </c>
      <c r="J502" s="23">
        <v>8</v>
      </c>
      <c r="K502" s="23">
        <v>7</v>
      </c>
      <c r="L502" s="23">
        <v>8</v>
      </c>
      <c r="M502" s="23">
        <v>10</v>
      </c>
      <c r="N502" s="23">
        <v>7</v>
      </c>
      <c r="O502" s="23">
        <v>17</v>
      </c>
      <c r="P502" s="28">
        <v>10</v>
      </c>
    </row>
    <row r="503" spans="1:16" x14ac:dyDescent="0.25">
      <c r="A503" s="27">
        <v>45059</v>
      </c>
      <c r="B503" s="23">
        <v>2</v>
      </c>
      <c r="C503" s="23">
        <v>2</v>
      </c>
      <c r="D503" s="23">
        <v>1</v>
      </c>
      <c r="E503" s="23">
        <v>1</v>
      </c>
      <c r="F503" s="23">
        <v>0</v>
      </c>
      <c r="G503" s="23">
        <v>0</v>
      </c>
      <c r="H503" s="23">
        <v>0</v>
      </c>
      <c r="I503" s="23">
        <v>0</v>
      </c>
      <c r="J503" s="23">
        <v>0</v>
      </c>
      <c r="K503" s="23">
        <v>1</v>
      </c>
      <c r="L503" s="23">
        <v>0</v>
      </c>
      <c r="M503" s="23">
        <v>0</v>
      </c>
      <c r="N503" s="23">
        <v>0</v>
      </c>
      <c r="O503" s="23">
        <v>0</v>
      </c>
      <c r="P503" s="28">
        <v>0</v>
      </c>
    </row>
    <row r="504" spans="1:16" x14ac:dyDescent="0.25">
      <c r="A504" s="27">
        <v>45060</v>
      </c>
      <c r="B504" s="23">
        <v>0</v>
      </c>
      <c r="C504" s="23">
        <v>0</v>
      </c>
      <c r="D504" s="23">
        <v>0</v>
      </c>
      <c r="E504" s="23">
        <v>0</v>
      </c>
      <c r="F504" s="23">
        <v>0</v>
      </c>
      <c r="G504" s="23">
        <v>0</v>
      </c>
      <c r="H504" s="23">
        <v>0</v>
      </c>
      <c r="I504" s="23">
        <v>0</v>
      </c>
      <c r="J504" s="23">
        <v>0</v>
      </c>
      <c r="K504" s="23">
        <v>0</v>
      </c>
      <c r="L504" s="23">
        <v>0</v>
      </c>
      <c r="M504" s="23">
        <v>0</v>
      </c>
      <c r="N504" s="23">
        <v>0</v>
      </c>
      <c r="O504" s="23">
        <v>0</v>
      </c>
      <c r="P504" s="28">
        <v>0</v>
      </c>
    </row>
    <row r="505" spans="1:16" x14ac:dyDescent="0.25">
      <c r="A505" s="27">
        <v>45061</v>
      </c>
      <c r="B505" s="23">
        <v>71</v>
      </c>
      <c r="C505" s="23">
        <v>61</v>
      </c>
      <c r="D505" s="23">
        <v>58</v>
      </c>
      <c r="E505" s="23">
        <v>3</v>
      </c>
      <c r="F505" s="23">
        <v>5</v>
      </c>
      <c r="G505" s="23">
        <v>5</v>
      </c>
      <c r="H505" s="23">
        <v>1</v>
      </c>
      <c r="I505" s="23">
        <v>5</v>
      </c>
      <c r="J505" s="23">
        <v>9</v>
      </c>
      <c r="K505" s="23">
        <v>1</v>
      </c>
      <c r="L505" s="23">
        <v>10</v>
      </c>
      <c r="M505" s="23">
        <v>8</v>
      </c>
      <c r="N505" s="23">
        <v>5</v>
      </c>
      <c r="O505" s="23">
        <v>15</v>
      </c>
      <c r="P505" s="28">
        <v>4</v>
      </c>
    </row>
    <row r="506" spans="1:16" x14ac:dyDescent="0.25">
      <c r="A506" s="27">
        <v>45062</v>
      </c>
      <c r="B506" s="23">
        <v>84</v>
      </c>
      <c r="C506" s="23">
        <v>78</v>
      </c>
      <c r="D506" s="23">
        <v>73</v>
      </c>
      <c r="E506" s="23">
        <v>5</v>
      </c>
      <c r="F506" s="23">
        <v>3</v>
      </c>
      <c r="G506" s="23">
        <v>3</v>
      </c>
      <c r="H506" s="23">
        <v>5</v>
      </c>
      <c r="I506" s="23">
        <v>12</v>
      </c>
      <c r="J506" s="23">
        <v>6</v>
      </c>
      <c r="K506" s="23">
        <v>6</v>
      </c>
      <c r="L506" s="23">
        <v>11</v>
      </c>
      <c r="M506" s="23">
        <v>12</v>
      </c>
      <c r="N506" s="23">
        <v>4</v>
      </c>
      <c r="O506" s="23">
        <v>14</v>
      </c>
      <c r="P506" s="28">
        <v>3</v>
      </c>
    </row>
    <row r="507" spans="1:16" x14ac:dyDescent="0.25">
      <c r="A507" s="27">
        <v>45063</v>
      </c>
      <c r="B507" s="23">
        <v>70</v>
      </c>
      <c r="C507" s="23">
        <v>64</v>
      </c>
      <c r="D507" s="23">
        <v>62</v>
      </c>
      <c r="E507" s="23">
        <v>2</v>
      </c>
      <c r="F507" s="23">
        <v>4</v>
      </c>
      <c r="G507" s="23">
        <v>2</v>
      </c>
      <c r="H507" s="23">
        <v>6</v>
      </c>
      <c r="I507" s="23">
        <v>8</v>
      </c>
      <c r="J507" s="23">
        <v>6</v>
      </c>
      <c r="K507" s="23">
        <v>9</v>
      </c>
      <c r="L507" s="23">
        <v>5</v>
      </c>
      <c r="M507" s="23">
        <v>5</v>
      </c>
      <c r="N507" s="23">
        <v>8</v>
      </c>
      <c r="O507" s="23">
        <v>10</v>
      </c>
      <c r="P507" s="28">
        <v>5</v>
      </c>
    </row>
    <row r="508" spans="1:16" x14ac:dyDescent="0.25">
      <c r="A508" s="27">
        <v>45064</v>
      </c>
      <c r="B508" s="23">
        <v>58</v>
      </c>
      <c r="C508" s="23">
        <v>50</v>
      </c>
      <c r="D508" s="23">
        <v>47</v>
      </c>
      <c r="E508" s="23">
        <v>2</v>
      </c>
      <c r="F508" s="23">
        <v>8</v>
      </c>
      <c r="G508" s="23">
        <v>0</v>
      </c>
      <c r="H508" s="23">
        <v>1</v>
      </c>
      <c r="I508" s="23">
        <v>5</v>
      </c>
      <c r="J508" s="23">
        <v>3</v>
      </c>
      <c r="K508" s="23">
        <v>13</v>
      </c>
      <c r="L508" s="23">
        <v>8</v>
      </c>
      <c r="M508" s="23">
        <v>3</v>
      </c>
      <c r="N508" s="23">
        <v>1</v>
      </c>
      <c r="O508" s="23">
        <v>8</v>
      </c>
      <c r="P508" s="28">
        <v>5</v>
      </c>
    </row>
    <row r="509" spans="1:16" x14ac:dyDescent="0.25">
      <c r="A509" s="27">
        <v>45065</v>
      </c>
      <c r="B509" s="23">
        <v>73</v>
      </c>
      <c r="C509" s="23">
        <v>67</v>
      </c>
      <c r="D509" s="23">
        <v>63</v>
      </c>
      <c r="E509" s="23">
        <v>4</v>
      </c>
      <c r="F509" s="23">
        <v>5</v>
      </c>
      <c r="G509" s="23">
        <v>1</v>
      </c>
      <c r="H509" s="23">
        <v>6</v>
      </c>
      <c r="I509" s="23">
        <v>11</v>
      </c>
      <c r="J509" s="23">
        <v>6</v>
      </c>
      <c r="K509" s="23">
        <v>6</v>
      </c>
      <c r="L509" s="23">
        <v>9</v>
      </c>
      <c r="M509" s="23">
        <v>5</v>
      </c>
      <c r="N509" s="23">
        <v>6</v>
      </c>
      <c r="O509" s="23">
        <v>8</v>
      </c>
      <c r="P509" s="28">
        <v>6</v>
      </c>
    </row>
    <row r="510" spans="1:16" x14ac:dyDescent="0.25">
      <c r="A510" s="27">
        <v>45066</v>
      </c>
      <c r="B510" s="23">
        <v>1</v>
      </c>
      <c r="C510" s="23">
        <v>1</v>
      </c>
      <c r="D510" s="23">
        <v>1</v>
      </c>
      <c r="E510" s="23">
        <v>0</v>
      </c>
      <c r="F510" s="23">
        <v>0</v>
      </c>
      <c r="G510" s="23">
        <v>0</v>
      </c>
      <c r="H510" s="23">
        <v>0</v>
      </c>
      <c r="I510" s="23">
        <v>0</v>
      </c>
      <c r="J510" s="23">
        <v>0</v>
      </c>
      <c r="K510" s="23">
        <v>1</v>
      </c>
      <c r="L510" s="23">
        <v>0</v>
      </c>
      <c r="M510" s="23">
        <v>0</v>
      </c>
      <c r="N510" s="23">
        <v>0</v>
      </c>
      <c r="O510" s="23">
        <v>0</v>
      </c>
      <c r="P510" s="28">
        <v>0</v>
      </c>
    </row>
    <row r="511" spans="1:16" x14ac:dyDescent="0.25">
      <c r="A511" s="27">
        <v>45067</v>
      </c>
      <c r="B511" s="23">
        <v>0</v>
      </c>
      <c r="C511" s="23">
        <v>0</v>
      </c>
      <c r="D511" s="23">
        <v>0</v>
      </c>
      <c r="E511" s="23">
        <v>0</v>
      </c>
      <c r="F511" s="23">
        <v>0</v>
      </c>
      <c r="G511" s="23">
        <v>0</v>
      </c>
      <c r="H511" s="23">
        <v>0</v>
      </c>
      <c r="I511" s="23">
        <v>0</v>
      </c>
      <c r="J511" s="23">
        <v>0</v>
      </c>
      <c r="K511" s="23">
        <v>0</v>
      </c>
      <c r="L511" s="23">
        <v>0</v>
      </c>
      <c r="M511" s="23">
        <v>0</v>
      </c>
      <c r="N511" s="23">
        <v>0</v>
      </c>
      <c r="O511" s="23">
        <v>0</v>
      </c>
      <c r="P511" s="28">
        <v>0</v>
      </c>
    </row>
    <row r="512" spans="1:16" x14ac:dyDescent="0.25">
      <c r="A512" s="27">
        <v>45068</v>
      </c>
      <c r="B512" s="23">
        <v>72</v>
      </c>
      <c r="C512" s="23">
        <v>61</v>
      </c>
      <c r="D512" s="23">
        <v>58</v>
      </c>
      <c r="E512" s="23">
        <v>3</v>
      </c>
      <c r="F512" s="23">
        <v>8</v>
      </c>
      <c r="G512" s="23">
        <v>3</v>
      </c>
      <c r="H512" s="23">
        <v>3</v>
      </c>
      <c r="I512" s="23">
        <v>6</v>
      </c>
      <c r="J512" s="23">
        <v>6</v>
      </c>
      <c r="K512" s="23">
        <v>6</v>
      </c>
      <c r="L512" s="23">
        <v>9</v>
      </c>
      <c r="M512" s="23">
        <v>8</v>
      </c>
      <c r="N512" s="23">
        <v>6</v>
      </c>
      <c r="O512" s="23">
        <v>10</v>
      </c>
      <c r="P512" s="28">
        <v>4</v>
      </c>
    </row>
    <row r="513" spans="1:16" x14ac:dyDescent="0.25">
      <c r="A513" s="27">
        <v>45069</v>
      </c>
      <c r="B513" s="23">
        <v>47</v>
      </c>
      <c r="C513" s="23">
        <v>46</v>
      </c>
      <c r="D513" s="23">
        <v>45</v>
      </c>
      <c r="E513" s="23">
        <v>1</v>
      </c>
      <c r="F513" s="23">
        <v>1</v>
      </c>
      <c r="G513" s="23">
        <v>0</v>
      </c>
      <c r="H513" s="23">
        <v>3</v>
      </c>
      <c r="I513" s="23">
        <v>3</v>
      </c>
      <c r="J513" s="23">
        <v>4</v>
      </c>
      <c r="K513" s="23">
        <v>5</v>
      </c>
      <c r="L513" s="23">
        <v>6</v>
      </c>
      <c r="M513" s="23">
        <v>5</v>
      </c>
      <c r="N513" s="23">
        <v>5</v>
      </c>
      <c r="O513" s="23">
        <v>5</v>
      </c>
      <c r="P513" s="28">
        <v>9</v>
      </c>
    </row>
    <row r="514" spans="1:16" x14ac:dyDescent="0.25">
      <c r="A514" s="27">
        <v>45070</v>
      </c>
      <c r="B514" s="23">
        <v>56</v>
      </c>
      <c r="C514" s="23">
        <v>53</v>
      </c>
      <c r="D514" s="23">
        <v>50</v>
      </c>
      <c r="E514" s="23">
        <v>3</v>
      </c>
      <c r="F514" s="23">
        <v>2</v>
      </c>
      <c r="G514" s="23">
        <v>1</v>
      </c>
      <c r="H514" s="23">
        <v>4</v>
      </c>
      <c r="I514" s="23">
        <v>11</v>
      </c>
      <c r="J514" s="23">
        <v>6</v>
      </c>
      <c r="K514" s="23">
        <v>2</v>
      </c>
      <c r="L514" s="23">
        <v>6</v>
      </c>
      <c r="M514" s="23">
        <v>4</v>
      </c>
      <c r="N514" s="23">
        <v>3</v>
      </c>
      <c r="O514" s="23">
        <v>8</v>
      </c>
      <c r="P514" s="28">
        <v>6</v>
      </c>
    </row>
    <row r="515" spans="1:16" x14ac:dyDescent="0.25">
      <c r="A515" s="27">
        <v>45071</v>
      </c>
      <c r="B515" s="23">
        <v>46</v>
      </c>
      <c r="C515" s="23">
        <v>45</v>
      </c>
      <c r="D515" s="23">
        <v>44</v>
      </c>
      <c r="E515" s="23">
        <v>1</v>
      </c>
      <c r="F515" s="23">
        <v>1</v>
      </c>
      <c r="G515" s="23">
        <v>0</v>
      </c>
      <c r="H515" s="23">
        <v>2</v>
      </c>
      <c r="I515" s="23">
        <v>3</v>
      </c>
      <c r="J515" s="23">
        <v>4</v>
      </c>
      <c r="K515" s="23">
        <v>9</v>
      </c>
      <c r="L515" s="23">
        <v>5</v>
      </c>
      <c r="M515" s="23">
        <v>6</v>
      </c>
      <c r="N515" s="23">
        <v>3</v>
      </c>
      <c r="O515" s="23">
        <v>9</v>
      </c>
      <c r="P515" s="28">
        <v>3</v>
      </c>
    </row>
    <row r="516" spans="1:16" x14ac:dyDescent="0.25">
      <c r="A516" s="27">
        <v>45072</v>
      </c>
      <c r="B516" s="23">
        <v>60</v>
      </c>
      <c r="C516" s="23">
        <v>56</v>
      </c>
      <c r="D516" s="23">
        <v>53</v>
      </c>
      <c r="E516" s="23">
        <v>3</v>
      </c>
      <c r="F516" s="23">
        <v>1</v>
      </c>
      <c r="G516" s="23">
        <v>3</v>
      </c>
      <c r="H516" s="23">
        <v>1</v>
      </c>
      <c r="I516" s="23">
        <v>10</v>
      </c>
      <c r="J516" s="23">
        <v>6</v>
      </c>
      <c r="K516" s="23">
        <v>4</v>
      </c>
      <c r="L516" s="23">
        <v>4</v>
      </c>
      <c r="M516" s="23">
        <v>7</v>
      </c>
      <c r="N516" s="23">
        <v>11</v>
      </c>
      <c r="O516" s="23">
        <v>6</v>
      </c>
      <c r="P516" s="28">
        <v>4</v>
      </c>
    </row>
    <row r="517" spans="1:16" x14ac:dyDescent="0.25">
      <c r="A517" s="27">
        <v>45073</v>
      </c>
      <c r="B517" s="23">
        <v>1</v>
      </c>
      <c r="C517" s="23">
        <v>1</v>
      </c>
      <c r="D517" s="23">
        <v>1</v>
      </c>
      <c r="E517" s="23">
        <v>0</v>
      </c>
      <c r="F517" s="23">
        <v>0</v>
      </c>
      <c r="G517" s="23">
        <v>0</v>
      </c>
      <c r="H517" s="23">
        <v>0</v>
      </c>
      <c r="I517" s="23">
        <v>0</v>
      </c>
      <c r="J517" s="23">
        <v>1</v>
      </c>
      <c r="K517" s="23">
        <v>0</v>
      </c>
      <c r="L517" s="23">
        <v>0</v>
      </c>
      <c r="M517" s="23">
        <v>0</v>
      </c>
      <c r="N517" s="23">
        <v>0</v>
      </c>
      <c r="O517" s="23">
        <v>0</v>
      </c>
      <c r="P517" s="28">
        <v>0</v>
      </c>
    </row>
    <row r="518" spans="1:16" x14ac:dyDescent="0.25">
      <c r="A518" s="27">
        <v>45074</v>
      </c>
      <c r="B518" s="23">
        <v>0</v>
      </c>
      <c r="C518" s="23">
        <v>0</v>
      </c>
      <c r="D518" s="23">
        <v>0</v>
      </c>
      <c r="E518" s="23">
        <v>0</v>
      </c>
      <c r="F518" s="23">
        <v>0</v>
      </c>
      <c r="G518" s="23">
        <v>0</v>
      </c>
      <c r="H518" s="23">
        <v>0</v>
      </c>
      <c r="I518" s="23">
        <v>0</v>
      </c>
      <c r="J518" s="23">
        <v>0</v>
      </c>
      <c r="K518" s="23">
        <v>0</v>
      </c>
      <c r="L518" s="23">
        <v>0</v>
      </c>
      <c r="M518" s="23">
        <v>0</v>
      </c>
      <c r="N518" s="23">
        <v>0</v>
      </c>
      <c r="O518" s="23">
        <v>0</v>
      </c>
      <c r="P518" s="28">
        <v>0</v>
      </c>
    </row>
    <row r="519" spans="1:16" x14ac:dyDescent="0.25">
      <c r="A519" s="27">
        <v>45075</v>
      </c>
      <c r="B519" s="23">
        <v>1</v>
      </c>
      <c r="C519" s="23">
        <v>0</v>
      </c>
      <c r="D519" s="23">
        <v>0</v>
      </c>
      <c r="E519" s="23">
        <v>0</v>
      </c>
      <c r="F519" s="23">
        <v>1</v>
      </c>
      <c r="G519" s="23">
        <v>0</v>
      </c>
      <c r="H519" s="23">
        <v>0</v>
      </c>
      <c r="I519" s="23">
        <v>0</v>
      </c>
      <c r="J519" s="23">
        <v>0</v>
      </c>
      <c r="K519" s="23">
        <v>0</v>
      </c>
      <c r="L519" s="23">
        <v>0</v>
      </c>
      <c r="M519" s="23">
        <v>0</v>
      </c>
      <c r="N519" s="23">
        <v>0</v>
      </c>
      <c r="O519" s="23">
        <v>0</v>
      </c>
      <c r="P519" s="28">
        <v>0</v>
      </c>
    </row>
    <row r="520" spans="1:16" x14ac:dyDescent="0.25">
      <c r="A520" s="27">
        <v>45076</v>
      </c>
      <c r="B520" s="23">
        <v>51</v>
      </c>
      <c r="C520" s="23">
        <v>44</v>
      </c>
      <c r="D520" s="23">
        <v>42</v>
      </c>
      <c r="E520" s="23">
        <v>2</v>
      </c>
      <c r="F520" s="23">
        <v>5</v>
      </c>
      <c r="G520" s="23">
        <v>2</v>
      </c>
      <c r="H520" s="23">
        <v>3</v>
      </c>
      <c r="I520" s="23">
        <v>7</v>
      </c>
      <c r="J520" s="23">
        <v>4</v>
      </c>
      <c r="K520" s="23">
        <v>4</v>
      </c>
      <c r="L520" s="23">
        <v>2</v>
      </c>
      <c r="M520" s="23">
        <v>8</v>
      </c>
      <c r="N520" s="23">
        <v>5</v>
      </c>
      <c r="O520" s="23">
        <v>6</v>
      </c>
      <c r="P520" s="28">
        <v>3</v>
      </c>
    </row>
    <row r="521" spans="1:16" x14ac:dyDescent="0.25">
      <c r="A521" s="27">
        <v>45077</v>
      </c>
      <c r="B521" s="23">
        <v>48</v>
      </c>
      <c r="C521" s="23">
        <v>44</v>
      </c>
      <c r="D521" s="23">
        <v>42</v>
      </c>
      <c r="E521" s="23">
        <v>2</v>
      </c>
      <c r="F521" s="23">
        <v>3</v>
      </c>
      <c r="G521" s="23">
        <v>1</v>
      </c>
      <c r="H521" s="23">
        <v>2</v>
      </c>
      <c r="I521" s="23">
        <v>4</v>
      </c>
      <c r="J521" s="23">
        <v>5</v>
      </c>
      <c r="K521" s="23">
        <v>6</v>
      </c>
      <c r="L521" s="23">
        <v>4</v>
      </c>
      <c r="M521" s="23">
        <v>4</v>
      </c>
      <c r="N521" s="23">
        <v>7</v>
      </c>
      <c r="O521" s="23">
        <v>7</v>
      </c>
      <c r="P521" s="28">
        <v>3</v>
      </c>
    </row>
    <row r="522" spans="1:16" x14ac:dyDescent="0.25">
      <c r="A522" s="27">
        <v>45078</v>
      </c>
      <c r="B522" s="23">
        <v>58</v>
      </c>
      <c r="C522" s="23">
        <v>54</v>
      </c>
      <c r="D522" s="23">
        <v>51</v>
      </c>
      <c r="E522" s="23">
        <v>2</v>
      </c>
      <c r="F522" s="23">
        <v>3</v>
      </c>
      <c r="G522" s="23">
        <v>1</v>
      </c>
      <c r="H522" s="23">
        <v>5</v>
      </c>
      <c r="I522" s="23">
        <v>9</v>
      </c>
      <c r="J522" s="23">
        <v>5</v>
      </c>
      <c r="K522" s="23">
        <v>6</v>
      </c>
      <c r="L522" s="23">
        <v>3</v>
      </c>
      <c r="M522" s="23">
        <v>8</v>
      </c>
      <c r="N522" s="23">
        <v>4</v>
      </c>
      <c r="O522" s="23">
        <v>6</v>
      </c>
      <c r="P522" s="28">
        <v>5</v>
      </c>
    </row>
    <row r="523" spans="1:16" x14ac:dyDescent="0.25">
      <c r="A523" s="27">
        <v>45079</v>
      </c>
      <c r="B523" s="23">
        <v>50</v>
      </c>
      <c r="C523" s="23">
        <v>46</v>
      </c>
      <c r="D523" s="23">
        <v>39</v>
      </c>
      <c r="E523" s="23">
        <v>6</v>
      </c>
      <c r="F523" s="23">
        <v>4</v>
      </c>
      <c r="G523" s="23">
        <v>0</v>
      </c>
      <c r="H523" s="23">
        <v>1</v>
      </c>
      <c r="I523" s="23">
        <v>7</v>
      </c>
      <c r="J523" s="23">
        <v>6</v>
      </c>
      <c r="K523" s="23">
        <v>3</v>
      </c>
      <c r="L523" s="23">
        <v>7</v>
      </c>
      <c r="M523" s="23">
        <v>6</v>
      </c>
      <c r="N523" s="23">
        <v>1</v>
      </c>
      <c r="O523" s="23">
        <v>6</v>
      </c>
      <c r="P523" s="28">
        <v>2</v>
      </c>
    </row>
    <row r="524" spans="1:16" x14ac:dyDescent="0.25">
      <c r="A524" s="27">
        <v>45080</v>
      </c>
      <c r="B524" s="23">
        <v>1</v>
      </c>
      <c r="C524" s="23">
        <v>1</v>
      </c>
      <c r="D524" s="23">
        <v>1</v>
      </c>
      <c r="E524" s="23">
        <v>0</v>
      </c>
      <c r="F524" s="23">
        <v>0</v>
      </c>
      <c r="G524" s="23">
        <v>0</v>
      </c>
      <c r="H524" s="23">
        <v>0</v>
      </c>
      <c r="I524" s="23">
        <v>1</v>
      </c>
      <c r="J524" s="23">
        <v>0</v>
      </c>
      <c r="K524" s="23">
        <v>0</v>
      </c>
      <c r="L524" s="23">
        <v>0</v>
      </c>
      <c r="M524" s="23">
        <v>0</v>
      </c>
      <c r="N524" s="23">
        <v>0</v>
      </c>
      <c r="O524" s="23">
        <v>0</v>
      </c>
      <c r="P524" s="28">
        <v>0</v>
      </c>
    </row>
    <row r="525" spans="1:16" x14ac:dyDescent="0.25">
      <c r="A525" s="27">
        <v>45081</v>
      </c>
      <c r="B525" s="23">
        <v>0</v>
      </c>
      <c r="C525" s="23">
        <v>0</v>
      </c>
      <c r="D525" s="23">
        <v>0</v>
      </c>
      <c r="E525" s="23">
        <v>0</v>
      </c>
      <c r="F525" s="23">
        <v>0</v>
      </c>
      <c r="G525" s="23">
        <v>0</v>
      </c>
      <c r="H525" s="23">
        <v>0</v>
      </c>
      <c r="I525" s="23">
        <v>0</v>
      </c>
      <c r="J525" s="23">
        <v>0</v>
      </c>
      <c r="K525" s="23">
        <v>0</v>
      </c>
      <c r="L525" s="23">
        <v>0</v>
      </c>
      <c r="M525" s="23">
        <v>0</v>
      </c>
      <c r="N525" s="23">
        <v>0</v>
      </c>
      <c r="O525" s="23">
        <v>0</v>
      </c>
      <c r="P525" s="28">
        <v>0</v>
      </c>
    </row>
    <row r="526" spans="1:16" x14ac:dyDescent="0.25">
      <c r="A526" s="27">
        <v>45082</v>
      </c>
      <c r="B526" s="23">
        <v>58</v>
      </c>
      <c r="C526" s="23">
        <v>53</v>
      </c>
      <c r="D526" s="23">
        <v>47</v>
      </c>
      <c r="E526" s="23">
        <v>6</v>
      </c>
      <c r="F526" s="23">
        <v>5</v>
      </c>
      <c r="G526" s="23">
        <v>0</v>
      </c>
      <c r="H526" s="23">
        <v>3</v>
      </c>
      <c r="I526" s="23">
        <v>6</v>
      </c>
      <c r="J526" s="23">
        <v>6</v>
      </c>
      <c r="K526" s="23">
        <v>6</v>
      </c>
      <c r="L526" s="23">
        <v>5</v>
      </c>
      <c r="M526" s="23">
        <v>3</v>
      </c>
      <c r="N526" s="23">
        <v>3</v>
      </c>
      <c r="O526" s="23">
        <v>10</v>
      </c>
      <c r="P526" s="28">
        <v>5</v>
      </c>
    </row>
    <row r="527" spans="1:16" x14ac:dyDescent="0.25">
      <c r="A527" s="27">
        <v>45083</v>
      </c>
      <c r="B527" s="23">
        <v>49</v>
      </c>
      <c r="C527" s="23">
        <v>45</v>
      </c>
      <c r="D527" s="23">
        <v>42</v>
      </c>
      <c r="E527" s="23">
        <v>3</v>
      </c>
      <c r="F527" s="23">
        <v>3</v>
      </c>
      <c r="G527" s="23">
        <v>1</v>
      </c>
      <c r="H527" s="23">
        <v>0</v>
      </c>
      <c r="I527" s="23">
        <v>3</v>
      </c>
      <c r="J527" s="23">
        <v>4</v>
      </c>
      <c r="K527" s="23">
        <v>5</v>
      </c>
      <c r="L527" s="23">
        <v>7</v>
      </c>
      <c r="M527" s="23">
        <v>5</v>
      </c>
      <c r="N527" s="23">
        <v>3</v>
      </c>
      <c r="O527" s="23">
        <v>9</v>
      </c>
      <c r="P527" s="28">
        <v>6</v>
      </c>
    </row>
    <row r="528" spans="1:16" x14ac:dyDescent="0.25">
      <c r="A528" s="27">
        <v>45084</v>
      </c>
      <c r="B528" s="23">
        <v>36</v>
      </c>
      <c r="C528" s="23">
        <v>34</v>
      </c>
      <c r="D528" s="23">
        <v>34</v>
      </c>
      <c r="E528" s="23">
        <v>0</v>
      </c>
      <c r="F528" s="23">
        <v>1</v>
      </c>
      <c r="G528" s="23">
        <v>1</v>
      </c>
      <c r="H528" s="23">
        <v>0</v>
      </c>
      <c r="I528" s="23">
        <v>3</v>
      </c>
      <c r="J528" s="23">
        <v>4</v>
      </c>
      <c r="K528" s="23">
        <v>1</v>
      </c>
      <c r="L528" s="23">
        <v>5</v>
      </c>
      <c r="M528" s="23">
        <v>3</v>
      </c>
      <c r="N528" s="23">
        <v>5</v>
      </c>
      <c r="O528" s="23">
        <v>8</v>
      </c>
      <c r="P528" s="28">
        <v>5</v>
      </c>
    </row>
    <row r="529" spans="1:16" x14ac:dyDescent="0.25">
      <c r="A529" s="27">
        <v>45085</v>
      </c>
      <c r="B529" s="23">
        <v>56</v>
      </c>
      <c r="C529" s="23">
        <v>51</v>
      </c>
      <c r="D529" s="23">
        <v>48</v>
      </c>
      <c r="E529" s="23">
        <v>3</v>
      </c>
      <c r="F529" s="23">
        <v>4</v>
      </c>
      <c r="G529" s="23">
        <v>1</v>
      </c>
      <c r="H529" s="23">
        <v>2</v>
      </c>
      <c r="I529" s="23">
        <v>5</v>
      </c>
      <c r="J529" s="23">
        <v>3</v>
      </c>
      <c r="K529" s="23">
        <v>7</v>
      </c>
      <c r="L529" s="23">
        <v>10</v>
      </c>
      <c r="M529" s="23">
        <v>3</v>
      </c>
      <c r="N529" s="23">
        <v>5</v>
      </c>
      <c r="O529" s="23">
        <v>6</v>
      </c>
      <c r="P529" s="28">
        <v>7</v>
      </c>
    </row>
    <row r="530" spans="1:16" x14ac:dyDescent="0.25">
      <c r="A530" s="27">
        <v>45086</v>
      </c>
      <c r="B530" s="23">
        <v>30</v>
      </c>
      <c r="C530" s="23">
        <v>27</v>
      </c>
      <c r="D530" s="23">
        <v>23</v>
      </c>
      <c r="E530" s="23">
        <v>4</v>
      </c>
      <c r="F530" s="23">
        <v>2</v>
      </c>
      <c r="G530" s="23">
        <v>1</v>
      </c>
      <c r="H530" s="23">
        <v>1</v>
      </c>
      <c r="I530" s="23">
        <v>1</v>
      </c>
      <c r="J530" s="23">
        <v>3</v>
      </c>
      <c r="K530" s="23">
        <v>5</v>
      </c>
      <c r="L530" s="23">
        <v>1</v>
      </c>
      <c r="M530" s="23">
        <v>1</v>
      </c>
      <c r="N530" s="23">
        <v>4</v>
      </c>
      <c r="O530" s="23">
        <v>6</v>
      </c>
      <c r="P530" s="28">
        <v>1</v>
      </c>
    </row>
    <row r="531" spans="1:16" x14ac:dyDescent="0.25">
      <c r="A531" s="27">
        <v>45087</v>
      </c>
      <c r="B531" s="23">
        <v>2</v>
      </c>
      <c r="C531" s="23">
        <v>2</v>
      </c>
      <c r="D531" s="23">
        <v>2</v>
      </c>
      <c r="E531" s="23">
        <v>0</v>
      </c>
      <c r="F531" s="23">
        <v>0</v>
      </c>
      <c r="G531" s="23">
        <v>0</v>
      </c>
      <c r="H531" s="23">
        <v>0</v>
      </c>
      <c r="I531" s="23">
        <v>0</v>
      </c>
      <c r="J531" s="23">
        <v>0</v>
      </c>
      <c r="K531" s="23">
        <v>2</v>
      </c>
      <c r="L531" s="23">
        <v>0</v>
      </c>
      <c r="M531" s="23">
        <v>0</v>
      </c>
      <c r="N531" s="23">
        <v>0</v>
      </c>
      <c r="O531" s="23">
        <v>0</v>
      </c>
      <c r="P531" s="28">
        <v>0</v>
      </c>
    </row>
    <row r="532" spans="1:16" x14ac:dyDescent="0.25">
      <c r="A532" s="27">
        <v>45088</v>
      </c>
      <c r="B532" s="23">
        <v>0</v>
      </c>
      <c r="C532" s="23">
        <v>0</v>
      </c>
      <c r="D532" s="23">
        <v>0</v>
      </c>
      <c r="E532" s="23">
        <v>0</v>
      </c>
      <c r="F532" s="23">
        <v>0</v>
      </c>
      <c r="G532" s="23">
        <v>0</v>
      </c>
      <c r="H532" s="23">
        <v>0</v>
      </c>
      <c r="I532" s="23">
        <v>0</v>
      </c>
      <c r="J532" s="23">
        <v>0</v>
      </c>
      <c r="K532" s="23">
        <v>0</v>
      </c>
      <c r="L532" s="23">
        <v>0</v>
      </c>
      <c r="M532" s="23">
        <v>0</v>
      </c>
      <c r="N532" s="23">
        <v>0</v>
      </c>
      <c r="O532" s="23">
        <v>0</v>
      </c>
      <c r="P532" s="28">
        <v>0</v>
      </c>
    </row>
    <row r="533" spans="1:16" x14ac:dyDescent="0.25">
      <c r="A533" s="27">
        <v>45089</v>
      </c>
      <c r="B533" s="23">
        <v>30</v>
      </c>
      <c r="C533" s="23">
        <v>29</v>
      </c>
      <c r="D533" s="23">
        <v>26</v>
      </c>
      <c r="E533" s="23">
        <v>2</v>
      </c>
      <c r="F533" s="23">
        <v>1</v>
      </c>
      <c r="G533" s="23">
        <v>0</v>
      </c>
      <c r="H533" s="23">
        <v>0</v>
      </c>
      <c r="I533" s="23">
        <v>5</v>
      </c>
      <c r="J533" s="23">
        <v>1</v>
      </c>
      <c r="K533" s="23">
        <v>4</v>
      </c>
      <c r="L533" s="23">
        <v>3</v>
      </c>
      <c r="M533" s="23">
        <v>2</v>
      </c>
      <c r="N533" s="23">
        <v>6</v>
      </c>
      <c r="O533" s="23">
        <v>2</v>
      </c>
      <c r="P533" s="28">
        <v>3</v>
      </c>
    </row>
    <row r="534" spans="1:16" x14ac:dyDescent="0.25">
      <c r="A534" s="27">
        <v>45090</v>
      </c>
      <c r="B534" s="23">
        <v>34</v>
      </c>
      <c r="C534" s="23">
        <v>30</v>
      </c>
      <c r="D534" s="23">
        <v>29</v>
      </c>
      <c r="E534" s="23">
        <v>1</v>
      </c>
      <c r="F534" s="23">
        <v>4</v>
      </c>
      <c r="G534" s="23">
        <v>0</v>
      </c>
      <c r="H534" s="23">
        <v>1</v>
      </c>
      <c r="I534" s="23">
        <v>4</v>
      </c>
      <c r="J534" s="23">
        <v>5</v>
      </c>
      <c r="K534" s="23">
        <v>3</v>
      </c>
      <c r="L534" s="23">
        <v>2</v>
      </c>
      <c r="M534" s="23">
        <v>4</v>
      </c>
      <c r="N534" s="23">
        <v>4</v>
      </c>
      <c r="O534" s="23">
        <v>6</v>
      </c>
      <c r="P534" s="28">
        <v>0</v>
      </c>
    </row>
    <row r="535" spans="1:16" x14ac:dyDescent="0.25">
      <c r="A535" s="27">
        <v>45091</v>
      </c>
      <c r="B535" s="23">
        <v>35</v>
      </c>
      <c r="C535" s="23">
        <v>31</v>
      </c>
      <c r="D535" s="23">
        <v>30</v>
      </c>
      <c r="E535" s="23">
        <v>1</v>
      </c>
      <c r="F535" s="23">
        <v>3</v>
      </c>
      <c r="G535" s="23">
        <v>1</v>
      </c>
      <c r="H535" s="23">
        <v>2</v>
      </c>
      <c r="I535" s="23">
        <v>6</v>
      </c>
      <c r="J535" s="23">
        <v>2</v>
      </c>
      <c r="K535" s="23">
        <v>4</v>
      </c>
      <c r="L535" s="23">
        <v>4</v>
      </c>
      <c r="M535" s="23">
        <v>2</v>
      </c>
      <c r="N535" s="23">
        <v>4</v>
      </c>
      <c r="O535" s="23">
        <v>5</v>
      </c>
      <c r="P535" s="28">
        <v>1</v>
      </c>
    </row>
    <row r="536" spans="1:16" x14ac:dyDescent="0.25">
      <c r="A536" s="27">
        <v>45092</v>
      </c>
      <c r="B536" s="23">
        <v>36</v>
      </c>
      <c r="C536" s="23">
        <v>32</v>
      </c>
      <c r="D536" s="23">
        <v>31</v>
      </c>
      <c r="E536" s="23">
        <v>1</v>
      </c>
      <c r="F536" s="23">
        <v>4</v>
      </c>
      <c r="G536" s="23">
        <v>0</v>
      </c>
      <c r="H536" s="23">
        <v>0</v>
      </c>
      <c r="I536" s="23">
        <v>6</v>
      </c>
      <c r="J536" s="23">
        <v>3</v>
      </c>
      <c r="K536" s="23">
        <v>2</v>
      </c>
      <c r="L536" s="23">
        <v>1</v>
      </c>
      <c r="M536" s="23">
        <v>10</v>
      </c>
      <c r="N536" s="23">
        <v>2</v>
      </c>
      <c r="O536" s="23">
        <v>6</v>
      </c>
      <c r="P536" s="28">
        <v>1</v>
      </c>
    </row>
    <row r="537" spans="1:16" x14ac:dyDescent="0.25">
      <c r="A537" s="27">
        <v>45093</v>
      </c>
      <c r="B537" s="23">
        <v>36</v>
      </c>
      <c r="C537" s="23">
        <v>32</v>
      </c>
      <c r="D537" s="23">
        <v>30</v>
      </c>
      <c r="E537" s="23">
        <v>2</v>
      </c>
      <c r="F537" s="23">
        <v>2</v>
      </c>
      <c r="G537" s="23">
        <v>2</v>
      </c>
      <c r="H537" s="23">
        <v>4</v>
      </c>
      <c r="I537" s="23">
        <v>2</v>
      </c>
      <c r="J537" s="23">
        <v>2</v>
      </c>
      <c r="K537" s="23">
        <v>4</v>
      </c>
      <c r="L537" s="23">
        <v>2</v>
      </c>
      <c r="M537" s="23">
        <v>6</v>
      </c>
      <c r="N537" s="23">
        <v>1</v>
      </c>
      <c r="O537" s="23">
        <v>7</v>
      </c>
      <c r="P537" s="28">
        <v>2</v>
      </c>
    </row>
    <row r="538" spans="1:16" x14ac:dyDescent="0.25">
      <c r="A538" s="27">
        <v>45094</v>
      </c>
      <c r="B538" s="23">
        <v>1</v>
      </c>
      <c r="C538" s="23">
        <v>1</v>
      </c>
      <c r="D538" s="23">
        <v>1</v>
      </c>
      <c r="E538" s="23">
        <v>0</v>
      </c>
      <c r="F538" s="23">
        <v>0</v>
      </c>
      <c r="G538" s="23">
        <v>0</v>
      </c>
      <c r="H538" s="23">
        <v>0</v>
      </c>
      <c r="I538" s="23">
        <v>0</v>
      </c>
      <c r="J538" s="23">
        <v>0</v>
      </c>
      <c r="K538" s="23">
        <v>0</v>
      </c>
      <c r="L538" s="23">
        <v>0</v>
      </c>
      <c r="M538" s="23">
        <v>0</v>
      </c>
      <c r="N538" s="23">
        <v>0</v>
      </c>
      <c r="O538" s="23">
        <v>1</v>
      </c>
      <c r="P538" s="28">
        <v>0</v>
      </c>
    </row>
    <row r="539" spans="1:16" x14ac:dyDescent="0.25">
      <c r="A539" s="27">
        <v>45095</v>
      </c>
      <c r="B539" s="23">
        <v>1</v>
      </c>
      <c r="C539" s="23">
        <v>1</v>
      </c>
      <c r="D539" s="23">
        <v>1</v>
      </c>
      <c r="E539" s="23">
        <v>0</v>
      </c>
      <c r="F539" s="23">
        <v>0</v>
      </c>
      <c r="G539" s="23">
        <v>0</v>
      </c>
      <c r="H539" s="23">
        <v>0</v>
      </c>
      <c r="I539" s="23">
        <v>0</v>
      </c>
      <c r="J539" s="23">
        <v>0</v>
      </c>
      <c r="K539" s="23">
        <v>0</v>
      </c>
      <c r="L539" s="23">
        <v>0</v>
      </c>
      <c r="M539" s="23">
        <v>0</v>
      </c>
      <c r="N539" s="23">
        <v>1</v>
      </c>
      <c r="O539" s="23">
        <v>0</v>
      </c>
      <c r="P539" s="28">
        <v>0</v>
      </c>
    </row>
    <row r="540" spans="1:16" x14ac:dyDescent="0.25">
      <c r="A540" s="27">
        <v>45096</v>
      </c>
      <c r="B540" s="23">
        <v>41</v>
      </c>
      <c r="C540" s="23">
        <v>37</v>
      </c>
      <c r="D540" s="23">
        <v>36</v>
      </c>
      <c r="E540" s="23">
        <v>1</v>
      </c>
      <c r="F540" s="23">
        <v>3</v>
      </c>
      <c r="G540" s="23">
        <v>1</v>
      </c>
      <c r="H540" s="23">
        <v>2</v>
      </c>
      <c r="I540" s="23">
        <v>8</v>
      </c>
      <c r="J540" s="23">
        <v>2</v>
      </c>
      <c r="K540" s="23">
        <v>2</v>
      </c>
      <c r="L540" s="23">
        <v>2</v>
      </c>
      <c r="M540" s="23">
        <v>9</v>
      </c>
      <c r="N540" s="23">
        <v>3</v>
      </c>
      <c r="O540" s="23">
        <v>4</v>
      </c>
      <c r="P540" s="28">
        <v>4</v>
      </c>
    </row>
    <row r="541" spans="1:16" x14ac:dyDescent="0.25">
      <c r="A541" s="27">
        <v>45097</v>
      </c>
      <c r="B541" s="23">
        <v>34</v>
      </c>
      <c r="C541" s="23">
        <v>29</v>
      </c>
      <c r="D541" s="23">
        <v>26</v>
      </c>
      <c r="E541" s="23">
        <v>3</v>
      </c>
      <c r="F541" s="23">
        <v>2</v>
      </c>
      <c r="G541" s="23">
        <v>3</v>
      </c>
      <c r="H541" s="23">
        <v>2</v>
      </c>
      <c r="I541" s="23">
        <v>4</v>
      </c>
      <c r="J541" s="23">
        <v>2</v>
      </c>
      <c r="K541" s="23">
        <v>6</v>
      </c>
      <c r="L541" s="23">
        <v>2</v>
      </c>
      <c r="M541" s="23">
        <v>2</v>
      </c>
      <c r="N541" s="23">
        <v>1</v>
      </c>
      <c r="O541" s="23">
        <v>3</v>
      </c>
      <c r="P541" s="28">
        <v>4</v>
      </c>
    </row>
    <row r="542" spans="1:16" x14ac:dyDescent="0.25">
      <c r="A542" s="27">
        <v>45098</v>
      </c>
      <c r="B542" s="23">
        <v>45</v>
      </c>
      <c r="C542" s="23">
        <v>38</v>
      </c>
      <c r="D542" s="23">
        <v>31</v>
      </c>
      <c r="E542" s="23">
        <v>7</v>
      </c>
      <c r="F542" s="23">
        <v>5</v>
      </c>
      <c r="G542" s="23">
        <v>2</v>
      </c>
      <c r="H542" s="23">
        <v>1</v>
      </c>
      <c r="I542" s="23">
        <v>2</v>
      </c>
      <c r="J542" s="23">
        <v>5</v>
      </c>
      <c r="K542" s="23">
        <v>3</v>
      </c>
      <c r="L542" s="23">
        <v>4</v>
      </c>
      <c r="M542" s="23">
        <v>3</v>
      </c>
      <c r="N542" s="23">
        <v>2</v>
      </c>
      <c r="O542" s="23">
        <v>7</v>
      </c>
      <c r="P542" s="28">
        <v>4</v>
      </c>
    </row>
    <row r="543" spans="1:16" x14ac:dyDescent="0.25">
      <c r="A543" s="27">
        <v>45099</v>
      </c>
      <c r="B543" s="23">
        <v>28</v>
      </c>
      <c r="C543" s="23">
        <v>26</v>
      </c>
      <c r="D543" s="23">
        <v>25</v>
      </c>
      <c r="E543" s="23">
        <v>1</v>
      </c>
      <c r="F543" s="23">
        <v>1</v>
      </c>
      <c r="G543" s="23">
        <v>1</v>
      </c>
      <c r="H543" s="23">
        <v>1</v>
      </c>
      <c r="I543" s="23">
        <v>2</v>
      </c>
      <c r="J543" s="23">
        <v>2</v>
      </c>
      <c r="K543" s="23">
        <v>3</v>
      </c>
      <c r="L543" s="23">
        <v>2</v>
      </c>
      <c r="M543" s="23">
        <v>5</v>
      </c>
      <c r="N543" s="23">
        <v>3</v>
      </c>
      <c r="O543" s="23">
        <v>4</v>
      </c>
      <c r="P543" s="28">
        <v>3</v>
      </c>
    </row>
    <row r="544" spans="1:16" x14ac:dyDescent="0.25">
      <c r="A544" s="27">
        <v>45100</v>
      </c>
      <c r="B544" s="23">
        <v>24</v>
      </c>
      <c r="C544" s="23">
        <v>22</v>
      </c>
      <c r="D544" s="23">
        <v>21</v>
      </c>
      <c r="E544" s="23">
        <v>1</v>
      </c>
      <c r="F544" s="23">
        <v>2</v>
      </c>
      <c r="G544" s="23">
        <v>0</v>
      </c>
      <c r="H544" s="23">
        <v>2</v>
      </c>
      <c r="I544" s="23">
        <v>1</v>
      </c>
      <c r="J544" s="23">
        <v>3</v>
      </c>
      <c r="K544" s="23">
        <v>2</v>
      </c>
      <c r="L544" s="23">
        <v>2</v>
      </c>
      <c r="M544" s="23">
        <v>5</v>
      </c>
      <c r="N544" s="23">
        <v>2</v>
      </c>
      <c r="O544" s="23">
        <v>4</v>
      </c>
      <c r="P544" s="28">
        <v>0</v>
      </c>
    </row>
    <row r="545" spans="1:16" x14ac:dyDescent="0.25">
      <c r="A545" s="27">
        <v>45101</v>
      </c>
      <c r="B545" s="23">
        <v>2</v>
      </c>
      <c r="C545" s="23">
        <v>2</v>
      </c>
      <c r="D545" s="23">
        <v>2</v>
      </c>
      <c r="E545" s="23">
        <v>0</v>
      </c>
      <c r="F545" s="23">
        <v>0</v>
      </c>
      <c r="G545" s="23">
        <v>0</v>
      </c>
      <c r="H545" s="23">
        <v>0</v>
      </c>
      <c r="I545" s="23">
        <v>0</v>
      </c>
      <c r="J545" s="23">
        <v>0</v>
      </c>
      <c r="K545" s="23">
        <v>1</v>
      </c>
      <c r="L545" s="23">
        <v>0</v>
      </c>
      <c r="M545" s="23">
        <v>0</v>
      </c>
      <c r="N545" s="23">
        <v>0</v>
      </c>
      <c r="O545" s="23">
        <v>1</v>
      </c>
      <c r="P545" s="28">
        <v>0</v>
      </c>
    </row>
    <row r="546" spans="1:16" x14ac:dyDescent="0.25">
      <c r="A546" s="27">
        <v>45102</v>
      </c>
      <c r="B546" s="23">
        <v>0</v>
      </c>
      <c r="C546" s="23">
        <v>0</v>
      </c>
      <c r="D546" s="23">
        <v>0</v>
      </c>
      <c r="E546" s="23">
        <v>0</v>
      </c>
      <c r="F546" s="23">
        <v>0</v>
      </c>
      <c r="G546" s="23">
        <v>0</v>
      </c>
      <c r="H546" s="23">
        <v>0</v>
      </c>
      <c r="I546" s="23">
        <v>0</v>
      </c>
      <c r="J546" s="23">
        <v>0</v>
      </c>
      <c r="K546" s="23">
        <v>0</v>
      </c>
      <c r="L546" s="23">
        <v>0</v>
      </c>
      <c r="M546" s="23">
        <v>0</v>
      </c>
      <c r="N546" s="23">
        <v>0</v>
      </c>
      <c r="O546" s="23">
        <v>0</v>
      </c>
      <c r="P546" s="28">
        <v>0</v>
      </c>
    </row>
    <row r="547" spans="1:16" x14ac:dyDescent="0.25">
      <c r="A547" s="27">
        <v>45103</v>
      </c>
      <c r="B547" s="23">
        <v>25</v>
      </c>
      <c r="C547" s="23">
        <v>23</v>
      </c>
      <c r="D547" s="23">
        <v>23</v>
      </c>
      <c r="E547" s="23">
        <v>0</v>
      </c>
      <c r="F547" s="23">
        <v>1</v>
      </c>
      <c r="G547" s="23">
        <v>1</v>
      </c>
      <c r="H547" s="23">
        <v>1</v>
      </c>
      <c r="I547" s="23">
        <v>4</v>
      </c>
      <c r="J547" s="23">
        <v>2</v>
      </c>
      <c r="K547" s="23">
        <v>2</v>
      </c>
      <c r="L547" s="23">
        <v>4</v>
      </c>
      <c r="M547" s="23">
        <v>3</v>
      </c>
      <c r="N547" s="23">
        <v>2</v>
      </c>
      <c r="O547" s="23">
        <v>5</v>
      </c>
      <c r="P547" s="28">
        <v>0</v>
      </c>
    </row>
    <row r="548" spans="1:16" x14ac:dyDescent="0.25">
      <c r="A548" s="27">
        <v>45104</v>
      </c>
      <c r="B548" s="23">
        <v>29</v>
      </c>
      <c r="C548" s="23">
        <v>27</v>
      </c>
      <c r="D548" s="23">
        <v>27</v>
      </c>
      <c r="E548" s="23">
        <v>0</v>
      </c>
      <c r="F548" s="23">
        <v>2</v>
      </c>
      <c r="G548" s="23">
        <v>0</v>
      </c>
      <c r="H548" s="23">
        <v>1</v>
      </c>
      <c r="I548" s="23">
        <v>2</v>
      </c>
      <c r="J548" s="23">
        <v>4</v>
      </c>
      <c r="K548" s="23">
        <v>4</v>
      </c>
      <c r="L548" s="23">
        <v>1</v>
      </c>
      <c r="M548" s="23">
        <v>4</v>
      </c>
      <c r="N548" s="23">
        <v>2</v>
      </c>
      <c r="O548" s="23">
        <v>7</v>
      </c>
      <c r="P548" s="28">
        <v>2</v>
      </c>
    </row>
    <row r="549" spans="1:16" x14ac:dyDescent="0.25">
      <c r="A549" s="27">
        <v>45105</v>
      </c>
      <c r="B549" s="23">
        <v>30</v>
      </c>
      <c r="C549" s="23">
        <v>25</v>
      </c>
      <c r="D549" s="23">
        <v>21</v>
      </c>
      <c r="E549" s="23">
        <v>4</v>
      </c>
      <c r="F549" s="23">
        <v>3</v>
      </c>
      <c r="G549" s="23">
        <v>2</v>
      </c>
      <c r="H549" s="23">
        <v>0</v>
      </c>
      <c r="I549" s="23">
        <v>1</v>
      </c>
      <c r="J549" s="23">
        <v>3</v>
      </c>
      <c r="K549" s="23">
        <v>5</v>
      </c>
      <c r="L549" s="23">
        <v>0</v>
      </c>
      <c r="M549" s="23">
        <v>2</v>
      </c>
      <c r="N549" s="23">
        <v>4</v>
      </c>
      <c r="O549" s="23">
        <v>6</v>
      </c>
      <c r="P549" s="28">
        <v>0</v>
      </c>
    </row>
    <row r="550" spans="1:16" x14ac:dyDescent="0.25">
      <c r="A550" s="27">
        <v>45106</v>
      </c>
      <c r="B550" s="23">
        <v>36</v>
      </c>
      <c r="C550" s="23">
        <v>34</v>
      </c>
      <c r="D550" s="23">
        <v>32</v>
      </c>
      <c r="E550" s="23">
        <v>2</v>
      </c>
      <c r="F550" s="23">
        <v>2</v>
      </c>
      <c r="G550" s="23">
        <v>0</v>
      </c>
      <c r="H550" s="23">
        <v>1</v>
      </c>
      <c r="I550" s="23">
        <v>6</v>
      </c>
      <c r="J550" s="23">
        <v>3</v>
      </c>
      <c r="K550" s="23">
        <v>4</v>
      </c>
      <c r="L550" s="23">
        <v>5</v>
      </c>
      <c r="M550" s="23">
        <v>4</v>
      </c>
      <c r="N550" s="23">
        <v>4</v>
      </c>
      <c r="O550" s="23">
        <v>5</v>
      </c>
      <c r="P550" s="28">
        <v>0</v>
      </c>
    </row>
    <row r="551" spans="1:16" x14ac:dyDescent="0.25">
      <c r="A551" s="27">
        <v>45107</v>
      </c>
      <c r="B551" s="23">
        <v>20</v>
      </c>
      <c r="C551" s="23">
        <v>18</v>
      </c>
      <c r="D551" s="23">
        <v>17</v>
      </c>
      <c r="E551" s="23">
        <v>1</v>
      </c>
      <c r="F551" s="23">
        <v>2</v>
      </c>
      <c r="G551" s="23">
        <v>0</v>
      </c>
      <c r="H551" s="23">
        <v>2</v>
      </c>
      <c r="I551" s="23">
        <v>2</v>
      </c>
      <c r="J551" s="23">
        <v>2</v>
      </c>
      <c r="K551" s="23">
        <v>1</v>
      </c>
      <c r="L551" s="23">
        <v>0</v>
      </c>
      <c r="M551" s="23">
        <v>0</v>
      </c>
      <c r="N551" s="23">
        <v>2</v>
      </c>
      <c r="O551" s="23">
        <v>3</v>
      </c>
      <c r="P551" s="28">
        <v>5</v>
      </c>
    </row>
    <row r="552" spans="1:16" x14ac:dyDescent="0.25">
      <c r="A552" s="27">
        <v>45108</v>
      </c>
      <c r="B552" s="23">
        <v>1</v>
      </c>
      <c r="C552" s="23">
        <v>1</v>
      </c>
      <c r="D552" s="23">
        <v>1</v>
      </c>
      <c r="E552" s="23">
        <v>0</v>
      </c>
      <c r="F552" s="23">
        <v>0</v>
      </c>
      <c r="G552" s="23">
        <v>0</v>
      </c>
      <c r="H552" s="23">
        <v>0</v>
      </c>
      <c r="I552" s="23">
        <v>1</v>
      </c>
      <c r="J552" s="23">
        <v>0</v>
      </c>
      <c r="K552" s="23">
        <v>0</v>
      </c>
      <c r="L552" s="23">
        <v>0</v>
      </c>
      <c r="M552" s="23">
        <v>0</v>
      </c>
      <c r="N552" s="23">
        <v>0</v>
      </c>
      <c r="O552" s="23">
        <v>0</v>
      </c>
      <c r="P552" s="28">
        <v>0</v>
      </c>
    </row>
    <row r="553" spans="1:16" x14ac:dyDescent="0.25">
      <c r="A553" s="27">
        <v>45109</v>
      </c>
      <c r="B553" s="23">
        <v>0</v>
      </c>
      <c r="C553" s="23">
        <v>0</v>
      </c>
      <c r="D553" s="23">
        <v>0</v>
      </c>
      <c r="E553" s="23">
        <v>0</v>
      </c>
      <c r="F553" s="23">
        <v>0</v>
      </c>
      <c r="G553" s="23">
        <v>0</v>
      </c>
      <c r="H553" s="23">
        <v>0</v>
      </c>
      <c r="I553" s="23">
        <v>0</v>
      </c>
      <c r="J553" s="23">
        <v>0</v>
      </c>
      <c r="K553" s="23">
        <v>0</v>
      </c>
      <c r="L553" s="23">
        <v>0</v>
      </c>
      <c r="M553" s="23">
        <v>0</v>
      </c>
      <c r="N553" s="23">
        <v>0</v>
      </c>
      <c r="O553" s="23">
        <v>0</v>
      </c>
      <c r="P553" s="28">
        <v>0</v>
      </c>
    </row>
    <row r="554" spans="1:16" x14ac:dyDescent="0.25">
      <c r="A554" s="27">
        <v>45110</v>
      </c>
      <c r="B554" s="23">
        <v>20</v>
      </c>
      <c r="C554" s="23">
        <v>16</v>
      </c>
      <c r="D554" s="23">
        <v>15</v>
      </c>
      <c r="E554" s="23">
        <v>1</v>
      </c>
      <c r="F554" s="23">
        <v>2</v>
      </c>
      <c r="G554" s="23">
        <v>2</v>
      </c>
      <c r="H554" s="23">
        <v>2</v>
      </c>
      <c r="I554" s="23">
        <v>2</v>
      </c>
      <c r="J554" s="23">
        <v>0</v>
      </c>
      <c r="K554" s="23">
        <v>2</v>
      </c>
      <c r="L554" s="23">
        <v>1</v>
      </c>
      <c r="M554" s="23">
        <v>0</v>
      </c>
      <c r="N554" s="23">
        <v>1</v>
      </c>
      <c r="O554" s="23">
        <v>5</v>
      </c>
      <c r="P554" s="28">
        <v>2</v>
      </c>
    </row>
    <row r="555" spans="1:16" x14ac:dyDescent="0.25">
      <c r="A555" s="27">
        <v>45111</v>
      </c>
      <c r="B555" s="23">
        <v>23</v>
      </c>
      <c r="C555" s="23">
        <v>20</v>
      </c>
      <c r="D555" s="23">
        <v>20</v>
      </c>
      <c r="E555" s="23">
        <v>0</v>
      </c>
      <c r="F555" s="23">
        <v>2</v>
      </c>
      <c r="G555" s="23">
        <v>1</v>
      </c>
      <c r="H555" s="23">
        <v>1</v>
      </c>
      <c r="I555" s="23">
        <v>3</v>
      </c>
      <c r="J555" s="23">
        <v>0</v>
      </c>
      <c r="K555" s="23">
        <v>1</v>
      </c>
      <c r="L555" s="23">
        <v>0</v>
      </c>
      <c r="M555" s="23">
        <v>2</v>
      </c>
      <c r="N555" s="23">
        <v>3</v>
      </c>
      <c r="O555" s="23">
        <v>8</v>
      </c>
      <c r="P555" s="28">
        <v>2</v>
      </c>
    </row>
    <row r="556" spans="1:16" x14ac:dyDescent="0.25">
      <c r="A556" s="27">
        <v>45112</v>
      </c>
      <c r="B556" s="23">
        <v>19</v>
      </c>
      <c r="C556" s="23">
        <v>17</v>
      </c>
      <c r="D556" s="23">
        <v>16</v>
      </c>
      <c r="E556" s="23">
        <v>1</v>
      </c>
      <c r="F556" s="23">
        <v>2</v>
      </c>
      <c r="G556" s="23">
        <v>0</v>
      </c>
      <c r="H556" s="23">
        <v>0</v>
      </c>
      <c r="I556" s="23">
        <v>2</v>
      </c>
      <c r="J556" s="23">
        <v>1</v>
      </c>
      <c r="K556" s="23">
        <v>2</v>
      </c>
      <c r="L556" s="23">
        <v>4</v>
      </c>
      <c r="M556" s="23">
        <v>1</v>
      </c>
      <c r="N556" s="23">
        <v>2</v>
      </c>
      <c r="O556" s="23">
        <v>3</v>
      </c>
      <c r="P556" s="28">
        <v>1</v>
      </c>
    </row>
    <row r="557" spans="1:16" x14ac:dyDescent="0.25">
      <c r="A557" s="27">
        <v>45113</v>
      </c>
      <c r="B557" s="23">
        <v>21</v>
      </c>
      <c r="C557" s="23">
        <v>17</v>
      </c>
      <c r="D557" s="23">
        <v>16</v>
      </c>
      <c r="E557" s="23">
        <v>1</v>
      </c>
      <c r="F557" s="23">
        <v>2</v>
      </c>
      <c r="G557" s="23">
        <v>2</v>
      </c>
      <c r="H557" s="23">
        <v>1</v>
      </c>
      <c r="I557" s="23">
        <v>1</v>
      </c>
      <c r="J557" s="23">
        <v>2</v>
      </c>
      <c r="K557" s="23">
        <v>0</v>
      </c>
      <c r="L557" s="23">
        <v>0</v>
      </c>
      <c r="M557" s="23">
        <v>2</v>
      </c>
      <c r="N557" s="23">
        <v>1</v>
      </c>
      <c r="O557" s="23">
        <v>5</v>
      </c>
      <c r="P557" s="28">
        <v>4</v>
      </c>
    </row>
    <row r="558" spans="1:16" x14ac:dyDescent="0.25">
      <c r="A558" s="27">
        <v>45114</v>
      </c>
      <c r="B558" s="23">
        <v>25</v>
      </c>
      <c r="C558" s="23">
        <v>24</v>
      </c>
      <c r="D558" s="23">
        <v>23</v>
      </c>
      <c r="E558" s="23">
        <v>1</v>
      </c>
      <c r="F558" s="23">
        <v>0</v>
      </c>
      <c r="G558" s="23">
        <v>1</v>
      </c>
      <c r="H558" s="23">
        <v>0</v>
      </c>
      <c r="I558" s="23">
        <v>4</v>
      </c>
      <c r="J558" s="23">
        <v>3</v>
      </c>
      <c r="K558" s="23">
        <v>3</v>
      </c>
      <c r="L558" s="23">
        <v>2</v>
      </c>
      <c r="M558" s="23">
        <v>1</v>
      </c>
      <c r="N558" s="23">
        <v>4</v>
      </c>
      <c r="O558" s="23">
        <v>5</v>
      </c>
      <c r="P558" s="28">
        <v>1</v>
      </c>
    </row>
    <row r="559" spans="1:16" x14ac:dyDescent="0.25">
      <c r="A559" s="27">
        <v>45115</v>
      </c>
      <c r="B559" s="23">
        <v>1</v>
      </c>
      <c r="C559" s="23">
        <v>1</v>
      </c>
      <c r="D559" s="23">
        <v>1</v>
      </c>
      <c r="E559" s="23">
        <v>0</v>
      </c>
      <c r="F559" s="23">
        <v>0</v>
      </c>
      <c r="G559" s="23">
        <v>0</v>
      </c>
      <c r="H559" s="23">
        <v>1</v>
      </c>
      <c r="I559" s="23">
        <v>0</v>
      </c>
      <c r="J559" s="23">
        <v>0</v>
      </c>
      <c r="K559" s="23">
        <v>0</v>
      </c>
      <c r="L559" s="23">
        <v>0</v>
      </c>
      <c r="M559" s="23">
        <v>0</v>
      </c>
      <c r="N559" s="23">
        <v>0</v>
      </c>
      <c r="O559" s="23">
        <v>0</v>
      </c>
      <c r="P559" s="28">
        <v>0</v>
      </c>
    </row>
    <row r="560" spans="1:16" x14ac:dyDescent="0.25">
      <c r="A560" s="27">
        <v>45116</v>
      </c>
      <c r="B560" s="23">
        <v>0</v>
      </c>
      <c r="C560" s="23">
        <v>0</v>
      </c>
      <c r="D560" s="23">
        <v>0</v>
      </c>
      <c r="E560" s="23">
        <v>0</v>
      </c>
      <c r="F560" s="23">
        <v>0</v>
      </c>
      <c r="G560" s="23">
        <v>0</v>
      </c>
      <c r="H560" s="23">
        <v>0</v>
      </c>
      <c r="I560" s="23">
        <v>0</v>
      </c>
      <c r="J560" s="23">
        <v>0</v>
      </c>
      <c r="K560" s="23">
        <v>0</v>
      </c>
      <c r="L560" s="23">
        <v>0</v>
      </c>
      <c r="M560" s="23">
        <v>0</v>
      </c>
      <c r="N560" s="23">
        <v>0</v>
      </c>
      <c r="O560" s="23">
        <v>0</v>
      </c>
      <c r="P560" s="28">
        <v>0</v>
      </c>
    </row>
    <row r="561" spans="1:16" x14ac:dyDescent="0.25">
      <c r="A561" s="27">
        <v>45117</v>
      </c>
      <c r="B561" s="23">
        <v>10</v>
      </c>
      <c r="C561" s="23">
        <v>10</v>
      </c>
      <c r="D561" s="23">
        <v>10</v>
      </c>
      <c r="E561" s="23">
        <v>0</v>
      </c>
      <c r="F561" s="23">
        <v>0</v>
      </c>
      <c r="G561" s="23">
        <v>0</v>
      </c>
      <c r="H561" s="23">
        <v>0</v>
      </c>
      <c r="I561" s="23">
        <v>3</v>
      </c>
      <c r="J561" s="23">
        <v>1</v>
      </c>
      <c r="K561" s="23">
        <v>0</v>
      </c>
      <c r="L561" s="23">
        <v>1</v>
      </c>
      <c r="M561" s="23">
        <v>2</v>
      </c>
      <c r="N561" s="23">
        <v>1</v>
      </c>
      <c r="O561" s="23">
        <v>2</v>
      </c>
      <c r="P561" s="28">
        <v>0</v>
      </c>
    </row>
    <row r="562" spans="1:16" x14ac:dyDescent="0.25">
      <c r="A562" s="27">
        <v>45118</v>
      </c>
      <c r="B562" s="23">
        <v>20</v>
      </c>
      <c r="C562" s="23">
        <v>20</v>
      </c>
      <c r="D562" s="23">
        <v>18</v>
      </c>
      <c r="E562" s="23">
        <v>2</v>
      </c>
      <c r="F562" s="23">
        <v>0</v>
      </c>
      <c r="G562" s="23">
        <v>0</v>
      </c>
      <c r="H562" s="23">
        <v>2</v>
      </c>
      <c r="I562" s="23">
        <v>1</v>
      </c>
      <c r="J562" s="23">
        <v>0</v>
      </c>
      <c r="K562" s="23">
        <v>0</v>
      </c>
      <c r="L562" s="23">
        <v>4</v>
      </c>
      <c r="M562" s="23">
        <v>2</v>
      </c>
      <c r="N562" s="23">
        <v>2</v>
      </c>
      <c r="O562" s="23">
        <v>3</v>
      </c>
      <c r="P562" s="28">
        <v>4</v>
      </c>
    </row>
    <row r="563" spans="1:16" x14ac:dyDescent="0.25">
      <c r="A563" s="27">
        <v>45119</v>
      </c>
      <c r="B563" s="23">
        <v>15</v>
      </c>
      <c r="C563" s="23">
        <v>14</v>
      </c>
      <c r="D563" s="23">
        <v>13</v>
      </c>
      <c r="E563" s="23">
        <v>1</v>
      </c>
      <c r="F563" s="23">
        <v>1</v>
      </c>
      <c r="G563" s="23">
        <v>0</v>
      </c>
      <c r="H563" s="23">
        <v>0</v>
      </c>
      <c r="I563" s="23">
        <v>0</v>
      </c>
      <c r="J563" s="23">
        <v>3</v>
      </c>
      <c r="K563" s="23">
        <v>2</v>
      </c>
      <c r="L563" s="23">
        <v>1</v>
      </c>
      <c r="M563" s="23">
        <v>4</v>
      </c>
      <c r="N563" s="23">
        <v>2</v>
      </c>
      <c r="O563" s="23">
        <v>0</v>
      </c>
      <c r="P563" s="28">
        <v>1</v>
      </c>
    </row>
    <row r="564" spans="1:16" x14ac:dyDescent="0.25">
      <c r="A564" s="27">
        <v>45120</v>
      </c>
      <c r="B564" s="23">
        <v>15</v>
      </c>
      <c r="C564" s="23">
        <v>12</v>
      </c>
      <c r="D564" s="23">
        <v>12</v>
      </c>
      <c r="E564" s="23">
        <v>0</v>
      </c>
      <c r="F564" s="23">
        <v>3</v>
      </c>
      <c r="G564" s="23">
        <v>0</v>
      </c>
      <c r="H564" s="23">
        <v>0</v>
      </c>
      <c r="I564" s="23">
        <v>1</v>
      </c>
      <c r="J564" s="23">
        <v>3</v>
      </c>
      <c r="K564" s="23">
        <v>0</v>
      </c>
      <c r="L564" s="23">
        <v>1</v>
      </c>
      <c r="M564" s="23">
        <v>3</v>
      </c>
      <c r="N564" s="23">
        <v>1</v>
      </c>
      <c r="O564" s="23">
        <v>2</v>
      </c>
      <c r="P564" s="28">
        <v>1</v>
      </c>
    </row>
    <row r="565" spans="1:16" x14ac:dyDescent="0.25">
      <c r="A565" s="27">
        <v>45121</v>
      </c>
      <c r="B565" s="23">
        <v>20</v>
      </c>
      <c r="C565" s="23">
        <v>20</v>
      </c>
      <c r="D565" s="23">
        <v>19</v>
      </c>
      <c r="E565" s="23">
        <v>1</v>
      </c>
      <c r="F565" s="23">
        <v>0</v>
      </c>
      <c r="G565" s="23">
        <v>0</v>
      </c>
      <c r="H565" s="23">
        <v>2</v>
      </c>
      <c r="I565" s="23">
        <v>0</v>
      </c>
      <c r="J565" s="23">
        <v>1</v>
      </c>
      <c r="K565" s="23">
        <v>3</v>
      </c>
      <c r="L565" s="23">
        <v>2</v>
      </c>
      <c r="M565" s="23">
        <v>1</v>
      </c>
      <c r="N565" s="23">
        <v>3</v>
      </c>
      <c r="O565" s="23">
        <v>4</v>
      </c>
      <c r="P565" s="28">
        <v>3</v>
      </c>
    </row>
    <row r="566" spans="1:16" x14ac:dyDescent="0.25">
      <c r="A566" s="27">
        <v>45122</v>
      </c>
      <c r="B566" s="23">
        <v>0</v>
      </c>
      <c r="C566" s="23">
        <v>0</v>
      </c>
      <c r="D566" s="23">
        <v>0</v>
      </c>
      <c r="E566" s="23">
        <v>0</v>
      </c>
      <c r="F566" s="23">
        <v>0</v>
      </c>
      <c r="G566" s="23">
        <v>0</v>
      </c>
      <c r="H566" s="23">
        <v>0</v>
      </c>
      <c r="I566" s="23">
        <v>0</v>
      </c>
      <c r="J566" s="23">
        <v>0</v>
      </c>
      <c r="K566" s="23">
        <v>0</v>
      </c>
      <c r="L566" s="23">
        <v>0</v>
      </c>
      <c r="M566" s="23">
        <v>0</v>
      </c>
      <c r="N566" s="23">
        <v>0</v>
      </c>
      <c r="O566" s="23">
        <v>0</v>
      </c>
      <c r="P566" s="28">
        <v>0</v>
      </c>
    </row>
    <row r="567" spans="1:16" x14ac:dyDescent="0.25">
      <c r="A567" s="27">
        <v>45124</v>
      </c>
      <c r="B567" s="23">
        <v>11</v>
      </c>
      <c r="C567" s="23">
        <v>9</v>
      </c>
      <c r="D567" s="23">
        <v>8</v>
      </c>
      <c r="E567" s="23">
        <v>1</v>
      </c>
      <c r="F567" s="23">
        <v>1</v>
      </c>
      <c r="G567" s="23">
        <v>1</v>
      </c>
      <c r="H567" s="23">
        <v>1</v>
      </c>
      <c r="I567" s="23">
        <v>0</v>
      </c>
      <c r="J567" s="23">
        <v>1</v>
      </c>
      <c r="K567" s="23">
        <v>0</v>
      </c>
      <c r="L567" s="23">
        <v>1</v>
      </c>
      <c r="M567" s="23">
        <v>0</v>
      </c>
      <c r="N567" s="23">
        <v>2</v>
      </c>
      <c r="O567" s="23">
        <v>3</v>
      </c>
      <c r="P567" s="28">
        <v>0</v>
      </c>
    </row>
    <row r="568" spans="1:16" x14ac:dyDescent="0.25">
      <c r="A568" s="27">
        <v>45125</v>
      </c>
      <c r="B568" s="23">
        <v>16</v>
      </c>
      <c r="C568" s="23">
        <v>12</v>
      </c>
      <c r="D568" s="23">
        <v>11</v>
      </c>
      <c r="E568" s="23">
        <v>1</v>
      </c>
      <c r="F568" s="23">
        <v>2</v>
      </c>
      <c r="G568" s="23">
        <v>2</v>
      </c>
      <c r="H568" s="23">
        <v>1</v>
      </c>
      <c r="I568" s="23">
        <v>0</v>
      </c>
      <c r="J568" s="23">
        <v>2</v>
      </c>
      <c r="K568" s="23">
        <v>3</v>
      </c>
      <c r="L568" s="23">
        <v>1</v>
      </c>
      <c r="M568" s="23">
        <v>3</v>
      </c>
      <c r="N568" s="23">
        <v>0</v>
      </c>
      <c r="O568" s="23">
        <v>1</v>
      </c>
      <c r="P568" s="28">
        <v>0</v>
      </c>
    </row>
    <row r="569" spans="1:16" x14ac:dyDescent="0.25">
      <c r="A569" s="27">
        <v>45126</v>
      </c>
      <c r="B569" s="23">
        <v>16</v>
      </c>
      <c r="C569" s="23">
        <v>12</v>
      </c>
      <c r="D569" s="23">
        <v>10</v>
      </c>
      <c r="E569" s="23">
        <v>2</v>
      </c>
      <c r="F569" s="23">
        <v>4</v>
      </c>
      <c r="G569" s="23">
        <v>0</v>
      </c>
      <c r="H569" s="23">
        <v>1</v>
      </c>
      <c r="I569" s="23">
        <v>0</v>
      </c>
      <c r="J569" s="23">
        <v>0</v>
      </c>
      <c r="K569" s="23">
        <v>1</v>
      </c>
      <c r="L569" s="23">
        <v>0</v>
      </c>
      <c r="M569" s="23">
        <v>0</v>
      </c>
      <c r="N569" s="23">
        <v>1</v>
      </c>
      <c r="O569" s="23">
        <v>6</v>
      </c>
      <c r="P569" s="28">
        <v>1</v>
      </c>
    </row>
    <row r="570" spans="1:16" x14ac:dyDescent="0.25">
      <c r="A570" s="27">
        <v>45127</v>
      </c>
      <c r="B570" s="23">
        <v>20</v>
      </c>
      <c r="C570" s="23">
        <v>19</v>
      </c>
      <c r="D570" s="23">
        <v>17</v>
      </c>
      <c r="E570" s="23">
        <v>2</v>
      </c>
      <c r="F570" s="23">
        <v>1</v>
      </c>
      <c r="G570" s="23">
        <v>0</v>
      </c>
      <c r="H570" s="23">
        <v>1</v>
      </c>
      <c r="I570" s="23">
        <v>0</v>
      </c>
      <c r="J570" s="23">
        <v>2</v>
      </c>
      <c r="K570" s="23">
        <v>3</v>
      </c>
      <c r="L570" s="23">
        <v>1</v>
      </c>
      <c r="M570" s="23">
        <v>2</v>
      </c>
      <c r="N570" s="23">
        <v>1</v>
      </c>
      <c r="O570" s="23">
        <v>5</v>
      </c>
      <c r="P570" s="28">
        <v>2</v>
      </c>
    </row>
    <row r="571" spans="1:16" x14ac:dyDescent="0.25">
      <c r="A571" s="27">
        <v>45128</v>
      </c>
      <c r="B571" s="23">
        <v>20</v>
      </c>
      <c r="C571" s="23">
        <v>18</v>
      </c>
      <c r="D571" s="23">
        <v>15</v>
      </c>
      <c r="E571" s="23">
        <v>3</v>
      </c>
      <c r="F571" s="23">
        <v>2</v>
      </c>
      <c r="G571" s="23">
        <v>0</v>
      </c>
      <c r="H571" s="23">
        <v>0</v>
      </c>
      <c r="I571" s="23">
        <v>0</v>
      </c>
      <c r="J571" s="23">
        <v>1</v>
      </c>
      <c r="K571" s="23">
        <v>1</v>
      </c>
      <c r="L571" s="23">
        <v>1</v>
      </c>
      <c r="M571" s="23">
        <v>4</v>
      </c>
      <c r="N571" s="23">
        <v>0</v>
      </c>
      <c r="O571" s="23">
        <v>5</v>
      </c>
      <c r="P571" s="28">
        <v>3</v>
      </c>
    </row>
    <row r="572" spans="1:16" x14ac:dyDescent="0.25">
      <c r="A572" s="27">
        <v>45129</v>
      </c>
      <c r="B572" s="23">
        <v>0</v>
      </c>
      <c r="C572" s="23">
        <v>0</v>
      </c>
      <c r="D572" s="23">
        <v>0</v>
      </c>
      <c r="E572" s="23">
        <v>0</v>
      </c>
      <c r="F572" s="23">
        <v>0</v>
      </c>
      <c r="G572" s="23">
        <v>0</v>
      </c>
      <c r="H572" s="23">
        <v>0</v>
      </c>
      <c r="I572" s="23">
        <v>0</v>
      </c>
      <c r="J572" s="23">
        <v>0</v>
      </c>
      <c r="K572" s="23">
        <v>0</v>
      </c>
      <c r="L572" s="23">
        <v>0</v>
      </c>
      <c r="M572" s="23">
        <v>0</v>
      </c>
      <c r="N572" s="23">
        <v>0</v>
      </c>
      <c r="O572" s="23">
        <v>0</v>
      </c>
      <c r="P572" s="28">
        <v>0</v>
      </c>
    </row>
    <row r="573" spans="1:16" x14ac:dyDescent="0.25">
      <c r="A573" s="27">
        <v>45130</v>
      </c>
      <c r="B573" s="23">
        <v>0</v>
      </c>
      <c r="C573" s="23">
        <v>0</v>
      </c>
      <c r="D573" s="23">
        <v>0</v>
      </c>
      <c r="E573" s="23">
        <v>0</v>
      </c>
      <c r="F573" s="23">
        <v>0</v>
      </c>
      <c r="G573" s="23">
        <v>0</v>
      </c>
      <c r="H573" s="23">
        <v>0</v>
      </c>
      <c r="I573" s="23">
        <v>0</v>
      </c>
      <c r="J573" s="23">
        <v>0</v>
      </c>
      <c r="K573" s="23">
        <v>0</v>
      </c>
      <c r="L573" s="23">
        <v>0</v>
      </c>
      <c r="M573" s="23">
        <v>0</v>
      </c>
      <c r="N573" s="23">
        <v>0</v>
      </c>
      <c r="O573" s="23">
        <v>0</v>
      </c>
      <c r="P573" s="28">
        <v>0</v>
      </c>
    </row>
    <row r="574" spans="1:16" x14ac:dyDescent="0.25">
      <c r="A574" s="27">
        <v>45131</v>
      </c>
      <c r="B574" s="23">
        <v>9</v>
      </c>
      <c r="C574" s="23">
        <v>9</v>
      </c>
      <c r="D574" s="23">
        <v>7</v>
      </c>
      <c r="E574" s="23">
        <v>2</v>
      </c>
      <c r="F574" s="23">
        <v>0</v>
      </c>
      <c r="G574" s="23">
        <v>0</v>
      </c>
      <c r="H574" s="23">
        <v>0</v>
      </c>
      <c r="I574" s="23">
        <v>1</v>
      </c>
      <c r="J574" s="23">
        <v>0</v>
      </c>
      <c r="K574" s="23">
        <v>1</v>
      </c>
      <c r="L574" s="23">
        <v>1</v>
      </c>
      <c r="M574" s="23">
        <v>2</v>
      </c>
      <c r="N574" s="23">
        <v>0</v>
      </c>
      <c r="O574" s="23">
        <v>1</v>
      </c>
      <c r="P574" s="28">
        <v>1</v>
      </c>
    </row>
    <row r="575" spans="1:16" x14ac:dyDescent="0.25">
      <c r="A575" s="27">
        <v>45132</v>
      </c>
      <c r="B575" s="23">
        <v>11</v>
      </c>
      <c r="C575" s="23">
        <v>9</v>
      </c>
      <c r="D575" s="23">
        <v>8</v>
      </c>
      <c r="E575" s="23">
        <v>1</v>
      </c>
      <c r="F575" s="23">
        <v>1</v>
      </c>
      <c r="G575" s="23">
        <v>1</v>
      </c>
      <c r="H575" s="23">
        <v>1</v>
      </c>
      <c r="I575" s="23">
        <v>1</v>
      </c>
      <c r="J575" s="23">
        <v>0</v>
      </c>
      <c r="K575" s="23">
        <v>1</v>
      </c>
      <c r="L575" s="23">
        <v>1</v>
      </c>
      <c r="M575" s="23">
        <v>0</v>
      </c>
      <c r="N575" s="23">
        <v>0</v>
      </c>
      <c r="O575" s="23">
        <v>3</v>
      </c>
      <c r="P575" s="28">
        <v>1</v>
      </c>
    </row>
    <row r="576" spans="1:16" x14ac:dyDescent="0.25">
      <c r="A576" s="27">
        <v>45133</v>
      </c>
      <c r="B576" s="23">
        <v>19</v>
      </c>
      <c r="C576" s="23">
        <v>18</v>
      </c>
      <c r="D576" s="23">
        <v>17</v>
      </c>
      <c r="E576" s="23">
        <v>1</v>
      </c>
      <c r="F576" s="23">
        <v>0</v>
      </c>
      <c r="G576" s="23">
        <v>1</v>
      </c>
      <c r="H576" s="23">
        <v>0</v>
      </c>
      <c r="I576" s="23">
        <v>1</v>
      </c>
      <c r="J576" s="23">
        <v>5</v>
      </c>
      <c r="K576" s="23">
        <v>0</v>
      </c>
      <c r="L576" s="23">
        <v>3</v>
      </c>
      <c r="M576" s="23">
        <v>2</v>
      </c>
      <c r="N576" s="23">
        <v>2</v>
      </c>
      <c r="O576" s="23">
        <v>2</v>
      </c>
      <c r="P576" s="28">
        <v>2</v>
      </c>
    </row>
    <row r="577" spans="1:16" x14ac:dyDescent="0.25">
      <c r="A577" s="27">
        <v>45134</v>
      </c>
      <c r="B577" s="23">
        <v>18</v>
      </c>
      <c r="C577" s="23">
        <v>15</v>
      </c>
      <c r="D577" s="23">
        <v>14</v>
      </c>
      <c r="E577" s="23">
        <v>1</v>
      </c>
      <c r="F577" s="23">
        <v>3</v>
      </c>
      <c r="G577" s="23">
        <v>0</v>
      </c>
      <c r="H577" s="23">
        <v>0</v>
      </c>
      <c r="I577" s="23">
        <v>5</v>
      </c>
      <c r="J577" s="23">
        <v>1</v>
      </c>
      <c r="K577" s="23">
        <v>0</v>
      </c>
      <c r="L577" s="23">
        <v>1</v>
      </c>
      <c r="M577" s="23">
        <v>1</v>
      </c>
      <c r="N577" s="23">
        <v>2</v>
      </c>
      <c r="O577" s="23">
        <v>2</v>
      </c>
      <c r="P577" s="28">
        <v>2</v>
      </c>
    </row>
    <row r="578" spans="1:16" x14ac:dyDescent="0.25">
      <c r="A578" s="27">
        <v>45135</v>
      </c>
      <c r="B578" s="23">
        <v>14</v>
      </c>
      <c r="C578" s="23">
        <v>12</v>
      </c>
      <c r="D578" s="23">
        <v>9</v>
      </c>
      <c r="E578" s="23">
        <v>3</v>
      </c>
      <c r="F578" s="23">
        <v>1</v>
      </c>
      <c r="G578" s="23">
        <v>1</v>
      </c>
      <c r="H578" s="23">
        <v>1</v>
      </c>
      <c r="I578" s="23">
        <v>0</v>
      </c>
      <c r="J578" s="23">
        <v>0</v>
      </c>
      <c r="K578" s="23">
        <v>2</v>
      </c>
      <c r="L578" s="23">
        <v>0</v>
      </c>
      <c r="M578" s="23">
        <v>3</v>
      </c>
      <c r="N578" s="23">
        <v>1</v>
      </c>
      <c r="O578" s="23">
        <v>2</v>
      </c>
      <c r="P578" s="28">
        <v>0</v>
      </c>
    </row>
    <row r="579" spans="1:16" x14ac:dyDescent="0.25">
      <c r="A579" s="27">
        <v>45136</v>
      </c>
      <c r="B579" s="23">
        <v>0</v>
      </c>
      <c r="C579" s="23">
        <v>0</v>
      </c>
      <c r="D579" s="23">
        <v>0</v>
      </c>
      <c r="E579" s="23">
        <v>0</v>
      </c>
      <c r="F579" s="23">
        <v>0</v>
      </c>
      <c r="G579" s="23">
        <v>0</v>
      </c>
      <c r="H579" s="23">
        <v>0</v>
      </c>
      <c r="I579" s="23">
        <v>0</v>
      </c>
      <c r="J579" s="23">
        <v>0</v>
      </c>
      <c r="K579" s="23">
        <v>0</v>
      </c>
      <c r="L579" s="23">
        <v>0</v>
      </c>
      <c r="M579" s="23">
        <v>0</v>
      </c>
      <c r="N579" s="23">
        <v>0</v>
      </c>
      <c r="O579" s="23">
        <v>0</v>
      </c>
      <c r="P579" s="28">
        <v>0</v>
      </c>
    </row>
    <row r="580" spans="1:16" x14ac:dyDescent="0.25">
      <c r="A580" s="27">
        <v>45137</v>
      </c>
      <c r="B580" s="23">
        <v>0</v>
      </c>
      <c r="C580" s="23">
        <v>0</v>
      </c>
      <c r="D580" s="23">
        <v>0</v>
      </c>
      <c r="E580" s="23">
        <v>0</v>
      </c>
      <c r="F580" s="23">
        <v>0</v>
      </c>
      <c r="G580" s="23">
        <v>0</v>
      </c>
      <c r="H580" s="23">
        <v>0</v>
      </c>
      <c r="I580" s="23">
        <v>0</v>
      </c>
      <c r="J580" s="23">
        <v>0</v>
      </c>
      <c r="K580" s="23">
        <v>0</v>
      </c>
      <c r="L580" s="23">
        <v>0</v>
      </c>
      <c r="M580" s="23">
        <v>0</v>
      </c>
      <c r="N580" s="23">
        <v>0</v>
      </c>
      <c r="O580" s="23">
        <v>0</v>
      </c>
      <c r="P580" s="28">
        <v>0</v>
      </c>
    </row>
    <row r="581" spans="1:16" x14ac:dyDescent="0.25">
      <c r="A581" s="27">
        <v>45138</v>
      </c>
      <c r="B581" s="23">
        <v>13</v>
      </c>
      <c r="C581" s="23">
        <v>10</v>
      </c>
      <c r="D581" s="23">
        <v>8</v>
      </c>
      <c r="E581" s="23">
        <v>2</v>
      </c>
      <c r="F581" s="23">
        <v>2</v>
      </c>
      <c r="G581" s="23">
        <v>1</v>
      </c>
      <c r="H581" s="23">
        <v>0</v>
      </c>
      <c r="I581" s="23">
        <v>1</v>
      </c>
      <c r="J581" s="23">
        <v>3</v>
      </c>
      <c r="K581" s="23">
        <v>1</v>
      </c>
      <c r="L581" s="23">
        <v>1</v>
      </c>
      <c r="M581" s="23">
        <v>0</v>
      </c>
      <c r="N581" s="23">
        <v>1</v>
      </c>
      <c r="O581" s="23">
        <v>0</v>
      </c>
      <c r="P581" s="28">
        <v>1</v>
      </c>
    </row>
    <row r="582" spans="1:16" x14ac:dyDescent="0.25">
      <c r="A582" s="27">
        <v>45139</v>
      </c>
      <c r="B582" s="23">
        <v>17</v>
      </c>
      <c r="C582" s="23">
        <v>14</v>
      </c>
      <c r="D582" s="23">
        <v>14</v>
      </c>
      <c r="E582" s="23">
        <v>0</v>
      </c>
      <c r="F582" s="23">
        <v>2</v>
      </c>
      <c r="G582" s="23">
        <v>1</v>
      </c>
      <c r="H582" s="23">
        <v>1</v>
      </c>
      <c r="I582" s="23">
        <v>3</v>
      </c>
      <c r="J582" s="23">
        <v>2</v>
      </c>
      <c r="K582" s="23">
        <v>2</v>
      </c>
      <c r="L582" s="23">
        <v>3</v>
      </c>
      <c r="M582" s="23">
        <v>1</v>
      </c>
      <c r="N582" s="23">
        <v>0</v>
      </c>
      <c r="O582" s="23">
        <v>1</v>
      </c>
      <c r="P582" s="28">
        <v>1</v>
      </c>
    </row>
    <row r="583" spans="1:16" x14ac:dyDescent="0.25">
      <c r="A583" s="27">
        <v>45140</v>
      </c>
      <c r="B583" s="23">
        <v>9</v>
      </c>
      <c r="C583" s="23">
        <v>7</v>
      </c>
      <c r="D583" s="23">
        <v>7</v>
      </c>
      <c r="E583" s="23">
        <v>0</v>
      </c>
      <c r="F583" s="23">
        <v>1</v>
      </c>
      <c r="G583" s="23">
        <v>1</v>
      </c>
      <c r="H583" s="23">
        <v>1</v>
      </c>
      <c r="I583" s="23">
        <v>1</v>
      </c>
      <c r="J583" s="23">
        <v>1</v>
      </c>
      <c r="K583" s="23">
        <v>1</v>
      </c>
      <c r="L583" s="23">
        <v>1</v>
      </c>
      <c r="M583" s="23">
        <v>1</v>
      </c>
      <c r="N583" s="23">
        <v>0</v>
      </c>
      <c r="O583" s="23">
        <v>0</v>
      </c>
      <c r="P583" s="28">
        <v>1</v>
      </c>
    </row>
    <row r="584" spans="1:16" x14ac:dyDescent="0.25">
      <c r="A584" s="27">
        <v>45141</v>
      </c>
      <c r="B584" s="23">
        <v>19</v>
      </c>
      <c r="C584" s="23">
        <v>16</v>
      </c>
      <c r="D584" s="23">
        <v>16</v>
      </c>
      <c r="E584" s="23">
        <v>0</v>
      </c>
      <c r="F584" s="23">
        <v>3</v>
      </c>
      <c r="G584" s="23">
        <v>0</v>
      </c>
      <c r="H584" s="23">
        <v>4</v>
      </c>
      <c r="I584" s="23">
        <v>2</v>
      </c>
      <c r="J584" s="23">
        <v>3</v>
      </c>
      <c r="K584" s="23">
        <v>0</v>
      </c>
      <c r="L584" s="23">
        <v>2</v>
      </c>
      <c r="M584" s="23">
        <v>2</v>
      </c>
      <c r="N584" s="23">
        <v>1</v>
      </c>
      <c r="O584" s="23">
        <v>2</v>
      </c>
      <c r="P584" s="28">
        <v>0</v>
      </c>
    </row>
    <row r="585" spans="1:16" x14ac:dyDescent="0.25">
      <c r="A585" s="27">
        <v>45142</v>
      </c>
      <c r="B585" s="23">
        <v>22</v>
      </c>
      <c r="C585" s="23">
        <v>21</v>
      </c>
      <c r="D585" s="23">
        <v>20</v>
      </c>
      <c r="E585" s="23">
        <v>1</v>
      </c>
      <c r="F585" s="23">
        <v>0</v>
      </c>
      <c r="G585" s="23">
        <v>1</v>
      </c>
      <c r="H585" s="23">
        <v>1</v>
      </c>
      <c r="I585" s="23">
        <v>2</v>
      </c>
      <c r="J585" s="23">
        <v>5</v>
      </c>
      <c r="K585" s="23">
        <v>0</v>
      </c>
      <c r="L585" s="23">
        <v>3</v>
      </c>
      <c r="M585" s="23">
        <v>1</v>
      </c>
      <c r="N585" s="23">
        <v>2</v>
      </c>
      <c r="O585" s="23">
        <v>2</v>
      </c>
      <c r="P585" s="28">
        <v>4</v>
      </c>
    </row>
    <row r="586" spans="1:16" x14ac:dyDescent="0.25">
      <c r="A586" s="27">
        <v>45143</v>
      </c>
      <c r="B586" s="23">
        <v>1</v>
      </c>
      <c r="C586" s="23">
        <v>1</v>
      </c>
      <c r="D586" s="23">
        <v>1</v>
      </c>
      <c r="E586" s="23">
        <v>0</v>
      </c>
      <c r="F586" s="23">
        <v>0</v>
      </c>
      <c r="G586" s="23">
        <v>0</v>
      </c>
      <c r="H586" s="23">
        <v>0</v>
      </c>
      <c r="I586" s="23">
        <v>0</v>
      </c>
      <c r="J586" s="23">
        <v>0</v>
      </c>
      <c r="K586" s="23">
        <v>0</v>
      </c>
      <c r="L586" s="23">
        <v>0</v>
      </c>
      <c r="M586" s="23">
        <v>1</v>
      </c>
      <c r="N586" s="23">
        <v>0</v>
      </c>
      <c r="O586" s="23">
        <v>0</v>
      </c>
      <c r="P586" s="28">
        <v>0</v>
      </c>
    </row>
    <row r="587" spans="1:16" x14ac:dyDescent="0.25">
      <c r="A587" s="27">
        <v>45145</v>
      </c>
      <c r="B587" s="23">
        <v>33</v>
      </c>
      <c r="C587" s="23">
        <v>25</v>
      </c>
      <c r="D587" s="23">
        <v>24</v>
      </c>
      <c r="E587" s="23">
        <v>1</v>
      </c>
      <c r="F587" s="23">
        <v>7</v>
      </c>
      <c r="G587" s="23">
        <v>1</v>
      </c>
      <c r="H587" s="23">
        <v>2</v>
      </c>
      <c r="I587" s="23">
        <v>1</v>
      </c>
      <c r="J587" s="23">
        <v>3</v>
      </c>
      <c r="K587" s="23">
        <v>2</v>
      </c>
      <c r="L587" s="23">
        <v>2</v>
      </c>
      <c r="M587" s="23">
        <v>4</v>
      </c>
      <c r="N587" s="23">
        <v>5</v>
      </c>
      <c r="O587" s="23">
        <v>2</v>
      </c>
      <c r="P587" s="28">
        <v>3</v>
      </c>
    </row>
    <row r="588" spans="1:16" x14ac:dyDescent="0.25">
      <c r="A588" s="27">
        <v>45146</v>
      </c>
      <c r="B588" s="23">
        <v>28</v>
      </c>
      <c r="C588" s="23">
        <v>21</v>
      </c>
      <c r="D588" s="23">
        <v>20</v>
      </c>
      <c r="E588" s="23">
        <v>1</v>
      </c>
      <c r="F588" s="23">
        <v>5</v>
      </c>
      <c r="G588" s="23">
        <v>2</v>
      </c>
      <c r="H588" s="23">
        <v>3</v>
      </c>
      <c r="I588" s="23">
        <v>2</v>
      </c>
      <c r="J588" s="23">
        <v>3</v>
      </c>
      <c r="K588" s="23">
        <v>2</v>
      </c>
      <c r="L588" s="23">
        <v>2</v>
      </c>
      <c r="M588" s="23">
        <v>1</v>
      </c>
      <c r="N588" s="23">
        <v>2</v>
      </c>
      <c r="O588" s="23">
        <v>3</v>
      </c>
      <c r="P588" s="28">
        <v>2</v>
      </c>
    </row>
    <row r="589" spans="1:16" x14ac:dyDescent="0.25">
      <c r="A589" s="27">
        <v>45147</v>
      </c>
      <c r="B589" s="23">
        <v>24</v>
      </c>
      <c r="C589" s="23">
        <v>18</v>
      </c>
      <c r="D589" s="23">
        <v>17</v>
      </c>
      <c r="E589" s="23">
        <v>1</v>
      </c>
      <c r="F589" s="23">
        <v>3</v>
      </c>
      <c r="G589" s="23">
        <v>3</v>
      </c>
      <c r="H589" s="23">
        <v>0</v>
      </c>
      <c r="I589" s="23">
        <v>3</v>
      </c>
      <c r="J589" s="23">
        <v>2</v>
      </c>
      <c r="K589" s="23">
        <v>0</v>
      </c>
      <c r="L589" s="23">
        <v>1</v>
      </c>
      <c r="M589" s="23">
        <v>2</v>
      </c>
      <c r="N589" s="23">
        <v>3</v>
      </c>
      <c r="O589" s="23">
        <v>4</v>
      </c>
      <c r="P589" s="28">
        <v>2</v>
      </c>
    </row>
    <row r="590" spans="1:16" x14ac:dyDescent="0.25">
      <c r="A590" s="27">
        <v>45148</v>
      </c>
      <c r="B590" s="23">
        <v>20</v>
      </c>
      <c r="C590" s="23">
        <v>20</v>
      </c>
      <c r="D590" s="23">
        <v>18</v>
      </c>
      <c r="E590" s="23">
        <v>2</v>
      </c>
      <c r="F590" s="23">
        <v>0</v>
      </c>
      <c r="G590" s="23">
        <v>0</v>
      </c>
      <c r="H590" s="23">
        <v>2</v>
      </c>
      <c r="I590" s="23">
        <v>2</v>
      </c>
      <c r="J590" s="23">
        <v>2</v>
      </c>
      <c r="K590" s="23">
        <v>0</v>
      </c>
      <c r="L590" s="23">
        <v>3</v>
      </c>
      <c r="M590" s="23">
        <v>5</v>
      </c>
      <c r="N590" s="23">
        <v>1</v>
      </c>
      <c r="O590" s="23">
        <v>2</v>
      </c>
      <c r="P590" s="28">
        <v>1</v>
      </c>
    </row>
    <row r="591" spans="1:16" x14ac:dyDescent="0.25">
      <c r="A591" s="27">
        <v>45149</v>
      </c>
      <c r="B591" s="23">
        <v>27</v>
      </c>
      <c r="C591" s="23">
        <v>23</v>
      </c>
      <c r="D591" s="23">
        <v>21</v>
      </c>
      <c r="E591" s="23">
        <v>2</v>
      </c>
      <c r="F591" s="23">
        <v>2</v>
      </c>
      <c r="G591" s="23">
        <v>2</v>
      </c>
      <c r="H591" s="23">
        <v>2</v>
      </c>
      <c r="I591" s="23">
        <v>5</v>
      </c>
      <c r="J591" s="23">
        <v>0</v>
      </c>
      <c r="K591" s="23">
        <v>1</v>
      </c>
      <c r="L591" s="23">
        <v>3</v>
      </c>
      <c r="M591" s="23">
        <v>4</v>
      </c>
      <c r="N591" s="23">
        <v>3</v>
      </c>
      <c r="O591" s="23">
        <v>2</v>
      </c>
      <c r="P591" s="28">
        <v>1</v>
      </c>
    </row>
    <row r="592" spans="1:16" x14ac:dyDescent="0.25">
      <c r="A592" s="27">
        <v>45150</v>
      </c>
      <c r="B592" s="23">
        <v>0</v>
      </c>
      <c r="C592" s="23">
        <v>0</v>
      </c>
      <c r="D592" s="23">
        <v>0</v>
      </c>
      <c r="E592" s="23">
        <v>0</v>
      </c>
      <c r="F592" s="23">
        <v>0</v>
      </c>
      <c r="G592" s="23">
        <v>0</v>
      </c>
      <c r="H592" s="23">
        <v>0</v>
      </c>
      <c r="I592" s="23">
        <v>0</v>
      </c>
      <c r="J592" s="23">
        <v>0</v>
      </c>
      <c r="K592" s="23">
        <v>0</v>
      </c>
      <c r="L592" s="23">
        <v>0</v>
      </c>
      <c r="M592" s="23">
        <v>0</v>
      </c>
      <c r="N592" s="23">
        <v>0</v>
      </c>
      <c r="O592" s="23">
        <v>0</v>
      </c>
      <c r="P592" s="28">
        <v>0</v>
      </c>
    </row>
    <row r="593" spans="1:16" x14ac:dyDescent="0.25">
      <c r="A593" s="27">
        <v>45151</v>
      </c>
      <c r="B593" s="23">
        <v>0</v>
      </c>
      <c r="C593" s="23">
        <v>0</v>
      </c>
      <c r="D593" s="23">
        <v>0</v>
      </c>
      <c r="E593" s="23">
        <v>0</v>
      </c>
      <c r="F593" s="23">
        <v>0</v>
      </c>
      <c r="G593" s="23">
        <v>0</v>
      </c>
      <c r="H593" s="23">
        <v>0</v>
      </c>
      <c r="I593" s="23">
        <v>0</v>
      </c>
      <c r="J593" s="23">
        <v>0</v>
      </c>
      <c r="K593" s="23">
        <v>0</v>
      </c>
      <c r="L593" s="23">
        <v>0</v>
      </c>
      <c r="M593" s="23">
        <v>0</v>
      </c>
      <c r="N593" s="23">
        <v>0</v>
      </c>
      <c r="O593" s="23">
        <v>0</v>
      </c>
      <c r="P593" s="28">
        <v>0</v>
      </c>
    </row>
    <row r="594" spans="1:16" x14ac:dyDescent="0.25">
      <c r="A594" s="27">
        <v>45152</v>
      </c>
      <c r="B594" s="23">
        <v>26</v>
      </c>
      <c r="C594" s="23">
        <v>22</v>
      </c>
      <c r="D594" s="23">
        <v>21</v>
      </c>
      <c r="E594" s="23">
        <v>1</v>
      </c>
      <c r="F594" s="23">
        <v>4</v>
      </c>
      <c r="G594" s="23">
        <v>0</v>
      </c>
      <c r="H594" s="23">
        <v>1</v>
      </c>
      <c r="I594" s="23">
        <v>2</v>
      </c>
      <c r="J594" s="23">
        <v>1</v>
      </c>
      <c r="K594" s="23">
        <v>4</v>
      </c>
      <c r="L594" s="23">
        <v>4</v>
      </c>
      <c r="M594" s="23">
        <v>3</v>
      </c>
      <c r="N594" s="23">
        <v>1</v>
      </c>
      <c r="O594" s="23">
        <v>2</v>
      </c>
      <c r="P594" s="28">
        <v>3</v>
      </c>
    </row>
    <row r="595" spans="1:16" x14ac:dyDescent="0.25">
      <c r="A595" s="27">
        <v>45153</v>
      </c>
      <c r="B595" s="23">
        <v>26</v>
      </c>
      <c r="C595" s="23">
        <v>19</v>
      </c>
      <c r="D595" s="23">
        <v>17</v>
      </c>
      <c r="E595" s="23">
        <v>2</v>
      </c>
      <c r="F595" s="23">
        <v>6</v>
      </c>
      <c r="G595" s="23">
        <v>1</v>
      </c>
      <c r="H595" s="23">
        <v>1</v>
      </c>
      <c r="I595" s="23">
        <v>4</v>
      </c>
      <c r="J595" s="23">
        <v>4</v>
      </c>
      <c r="K595" s="23">
        <v>2</v>
      </c>
      <c r="L595" s="23">
        <v>1</v>
      </c>
      <c r="M595" s="23">
        <v>1</v>
      </c>
      <c r="N595" s="23">
        <v>2</v>
      </c>
      <c r="O595" s="23">
        <v>2</v>
      </c>
      <c r="P595" s="28">
        <v>0</v>
      </c>
    </row>
    <row r="596" spans="1:16" x14ac:dyDescent="0.25">
      <c r="A596" s="27">
        <v>45154</v>
      </c>
      <c r="B596" s="23">
        <v>35</v>
      </c>
      <c r="C596" s="23">
        <v>30</v>
      </c>
      <c r="D596" s="23">
        <v>30</v>
      </c>
      <c r="E596" s="23">
        <v>0</v>
      </c>
      <c r="F596" s="23">
        <v>5</v>
      </c>
      <c r="G596" s="23">
        <v>0</v>
      </c>
      <c r="H596" s="23">
        <v>1</v>
      </c>
      <c r="I596" s="23">
        <v>7</v>
      </c>
      <c r="J596" s="23">
        <v>6</v>
      </c>
      <c r="K596" s="23">
        <v>3</v>
      </c>
      <c r="L596" s="23">
        <v>2</v>
      </c>
      <c r="M596" s="23">
        <v>5</v>
      </c>
      <c r="N596" s="23">
        <v>0</v>
      </c>
      <c r="O596" s="23">
        <v>2</v>
      </c>
      <c r="P596" s="28">
        <v>4</v>
      </c>
    </row>
    <row r="597" spans="1:16" x14ac:dyDescent="0.25">
      <c r="A597" s="27">
        <v>45155</v>
      </c>
      <c r="B597" s="23">
        <v>28</v>
      </c>
      <c r="C597" s="23">
        <v>22</v>
      </c>
      <c r="D597" s="23">
        <v>20</v>
      </c>
      <c r="E597" s="23">
        <v>2</v>
      </c>
      <c r="F597" s="23">
        <v>4</v>
      </c>
      <c r="G597" s="23">
        <v>2</v>
      </c>
      <c r="H597" s="23">
        <v>0</v>
      </c>
      <c r="I597" s="23">
        <v>2</v>
      </c>
      <c r="J597" s="23">
        <v>3</v>
      </c>
      <c r="K597" s="23">
        <v>2</v>
      </c>
      <c r="L597" s="23">
        <v>2</v>
      </c>
      <c r="M597" s="23">
        <v>3</v>
      </c>
      <c r="N597" s="23">
        <v>1</v>
      </c>
      <c r="O597" s="23">
        <v>4</v>
      </c>
      <c r="P597" s="28">
        <v>3</v>
      </c>
    </row>
    <row r="598" spans="1:16" x14ac:dyDescent="0.25">
      <c r="A598" s="27">
        <v>45156</v>
      </c>
      <c r="B598" s="23">
        <v>38</v>
      </c>
      <c r="C598" s="23">
        <v>32</v>
      </c>
      <c r="D598" s="23">
        <v>27</v>
      </c>
      <c r="E598" s="23">
        <v>5</v>
      </c>
      <c r="F598" s="23">
        <v>5</v>
      </c>
      <c r="G598" s="23">
        <v>1</v>
      </c>
      <c r="H598" s="23">
        <v>2</v>
      </c>
      <c r="I598" s="23">
        <v>1</v>
      </c>
      <c r="J598" s="23">
        <v>3</v>
      </c>
      <c r="K598" s="23">
        <v>5</v>
      </c>
      <c r="L598" s="23">
        <v>4</v>
      </c>
      <c r="M598" s="23">
        <v>6</v>
      </c>
      <c r="N598" s="23">
        <v>2</v>
      </c>
      <c r="O598" s="23">
        <v>3</v>
      </c>
      <c r="P598" s="28">
        <v>1</v>
      </c>
    </row>
    <row r="599" spans="1:16" x14ac:dyDescent="0.25">
      <c r="A599" s="27">
        <v>45157</v>
      </c>
      <c r="B599" s="23">
        <v>5</v>
      </c>
      <c r="C599" s="23">
        <v>5</v>
      </c>
      <c r="D599" s="23">
        <v>5</v>
      </c>
      <c r="E599" s="23">
        <v>0</v>
      </c>
      <c r="F599" s="23">
        <v>0</v>
      </c>
      <c r="G599" s="23">
        <v>0</v>
      </c>
      <c r="H599" s="23">
        <v>0</v>
      </c>
      <c r="I599" s="23">
        <v>0</v>
      </c>
      <c r="J599" s="23">
        <v>0</v>
      </c>
      <c r="K599" s="23">
        <v>2</v>
      </c>
      <c r="L599" s="23">
        <v>0</v>
      </c>
      <c r="M599" s="23">
        <v>3</v>
      </c>
      <c r="N599" s="23">
        <v>0</v>
      </c>
      <c r="O599" s="23">
        <v>0</v>
      </c>
      <c r="P599" s="28">
        <v>0</v>
      </c>
    </row>
    <row r="600" spans="1:16" x14ac:dyDescent="0.25">
      <c r="A600" s="27">
        <v>45159</v>
      </c>
      <c r="B600" s="23">
        <v>36</v>
      </c>
      <c r="C600" s="23">
        <v>30</v>
      </c>
      <c r="D600" s="23">
        <v>26</v>
      </c>
      <c r="E600" s="23">
        <v>4</v>
      </c>
      <c r="F600" s="23">
        <v>5</v>
      </c>
      <c r="G600" s="23">
        <v>1</v>
      </c>
      <c r="H600" s="23">
        <v>5</v>
      </c>
      <c r="I600" s="23">
        <v>4</v>
      </c>
      <c r="J600" s="23">
        <v>2</v>
      </c>
      <c r="K600" s="23">
        <v>1</v>
      </c>
      <c r="L600" s="23">
        <v>3</v>
      </c>
      <c r="M600" s="23">
        <v>3</v>
      </c>
      <c r="N600" s="23">
        <v>1</v>
      </c>
      <c r="O600" s="23">
        <v>4</v>
      </c>
      <c r="P600" s="28">
        <v>3</v>
      </c>
    </row>
    <row r="601" spans="1:16" x14ac:dyDescent="0.25">
      <c r="A601" s="27">
        <v>45160</v>
      </c>
      <c r="B601" s="23">
        <v>43</v>
      </c>
      <c r="C601" s="23">
        <v>35</v>
      </c>
      <c r="D601" s="23">
        <v>32</v>
      </c>
      <c r="E601" s="23">
        <v>3</v>
      </c>
      <c r="F601" s="23">
        <v>7</v>
      </c>
      <c r="G601" s="23">
        <v>1</v>
      </c>
      <c r="H601" s="23">
        <v>3</v>
      </c>
      <c r="I601" s="23">
        <v>4</v>
      </c>
      <c r="J601" s="23">
        <v>3</v>
      </c>
      <c r="K601" s="23">
        <v>4</v>
      </c>
      <c r="L601" s="23">
        <v>4</v>
      </c>
      <c r="M601" s="23">
        <v>4</v>
      </c>
      <c r="N601" s="23">
        <v>0</v>
      </c>
      <c r="O601" s="23">
        <v>7</v>
      </c>
      <c r="P601" s="28">
        <v>3</v>
      </c>
    </row>
    <row r="602" spans="1:16" x14ac:dyDescent="0.25">
      <c r="A602" s="27">
        <v>45161</v>
      </c>
      <c r="B602" s="23">
        <v>58</v>
      </c>
      <c r="C602" s="23">
        <v>46</v>
      </c>
      <c r="D602" s="23">
        <v>41</v>
      </c>
      <c r="E602" s="23">
        <v>5</v>
      </c>
      <c r="F602" s="23">
        <v>8</v>
      </c>
      <c r="G602" s="23">
        <v>4</v>
      </c>
      <c r="H602" s="23">
        <v>1</v>
      </c>
      <c r="I602" s="23">
        <v>1</v>
      </c>
      <c r="J602" s="23">
        <v>6</v>
      </c>
      <c r="K602" s="23">
        <v>4</v>
      </c>
      <c r="L602" s="23">
        <v>4</v>
      </c>
      <c r="M602" s="23">
        <v>5</v>
      </c>
      <c r="N602" s="23">
        <v>2</v>
      </c>
      <c r="O602" s="23">
        <v>7</v>
      </c>
      <c r="P602" s="28">
        <v>11</v>
      </c>
    </row>
    <row r="603" spans="1:16" x14ac:dyDescent="0.25">
      <c r="A603" s="27">
        <v>45162</v>
      </c>
      <c r="B603" s="23">
        <v>50</v>
      </c>
      <c r="C603" s="23">
        <v>44</v>
      </c>
      <c r="D603" s="23">
        <v>38</v>
      </c>
      <c r="E603" s="23">
        <v>6</v>
      </c>
      <c r="F603" s="23">
        <v>2</v>
      </c>
      <c r="G603" s="23">
        <v>4</v>
      </c>
      <c r="H603" s="23">
        <v>1</v>
      </c>
      <c r="I603" s="23">
        <v>2</v>
      </c>
      <c r="J603" s="23">
        <v>6</v>
      </c>
      <c r="K603" s="23">
        <v>6</v>
      </c>
      <c r="L603" s="23">
        <v>0</v>
      </c>
      <c r="M603" s="23">
        <v>9</v>
      </c>
      <c r="N603" s="23">
        <v>6</v>
      </c>
      <c r="O603" s="23">
        <v>7</v>
      </c>
      <c r="P603" s="28">
        <v>1</v>
      </c>
    </row>
    <row r="604" spans="1:16" x14ac:dyDescent="0.25">
      <c r="A604" s="27">
        <v>45163</v>
      </c>
      <c r="B604" s="23">
        <v>48</v>
      </c>
      <c r="C604" s="23">
        <v>43</v>
      </c>
      <c r="D604" s="23">
        <v>36</v>
      </c>
      <c r="E604" s="23">
        <v>7</v>
      </c>
      <c r="F604" s="23">
        <v>2</v>
      </c>
      <c r="G604" s="23">
        <v>3</v>
      </c>
      <c r="H604" s="23">
        <v>1</v>
      </c>
      <c r="I604" s="23">
        <v>3</v>
      </c>
      <c r="J604" s="23">
        <v>4</v>
      </c>
      <c r="K604" s="23">
        <v>2</v>
      </c>
      <c r="L604" s="23">
        <v>5</v>
      </c>
      <c r="M604" s="23">
        <v>4</v>
      </c>
      <c r="N604" s="23">
        <v>5</v>
      </c>
      <c r="O604" s="23">
        <v>6</v>
      </c>
      <c r="P604" s="28">
        <v>6</v>
      </c>
    </row>
    <row r="605" spans="1:16" x14ac:dyDescent="0.25">
      <c r="A605" s="27">
        <v>45164</v>
      </c>
      <c r="B605" s="23">
        <v>2</v>
      </c>
      <c r="C605" s="23">
        <v>2</v>
      </c>
      <c r="D605" s="23">
        <v>2</v>
      </c>
      <c r="E605" s="23">
        <v>0</v>
      </c>
      <c r="F605" s="23">
        <v>0</v>
      </c>
      <c r="G605" s="23">
        <v>0</v>
      </c>
      <c r="H605" s="23">
        <v>0</v>
      </c>
      <c r="I605" s="23">
        <v>0</v>
      </c>
      <c r="J605" s="23">
        <v>0</v>
      </c>
      <c r="K605" s="23">
        <v>0</v>
      </c>
      <c r="L605" s="23">
        <v>1</v>
      </c>
      <c r="M605" s="23">
        <v>0</v>
      </c>
      <c r="N605" s="23">
        <v>0</v>
      </c>
      <c r="O605" s="23">
        <v>1</v>
      </c>
      <c r="P605" s="28">
        <v>0</v>
      </c>
    </row>
    <row r="606" spans="1:16" x14ac:dyDescent="0.25">
      <c r="A606" s="27">
        <v>45165</v>
      </c>
      <c r="B606" s="23">
        <v>0</v>
      </c>
      <c r="C606" s="23">
        <v>0</v>
      </c>
      <c r="D606" s="23">
        <v>0</v>
      </c>
      <c r="E606" s="23">
        <v>0</v>
      </c>
      <c r="F606" s="23">
        <v>0</v>
      </c>
      <c r="G606" s="23">
        <v>0</v>
      </c>
      <c r="H606" s="23">
        <v>0</v>
      </c>
      <c r="I606" s="23">
        <v>0</v>
      </c>
      <c r="J606" s="23">
        <v>0</v>
      </c>
      <c r="K606" s="23">
        <v>0</v>
      </c>
      <c r="L606" s="23">
        <v>0</v>
      </c>
      <c r="M606" s="23">
        <v>0</v>
      </c>
      <c r="N606" s="23">
        <v>0</v>
      </c>
      <c r="O606" s="23">
        <v>0</v>
      </c>
      <c r="P606" s="28">
        <v>0</v>
      </c>
    </row>
    <row r="607" spans="1:16" x14ac:dyDescent="0.25">
      <c r="A607" s="27">
        <v>45166</v>
      </c>
      <c r="B607" s="23">
        <v>3</v>
      </c>
      <c r="C607" s="23">
        <v>0</v>
      </c>
      <c r="D607" s="23">
        <v>0</v>
      </c>
      <c r="E607" s="23">
        <v>0</v>
      </c>
      <c r="F607" s="23">
        <v>3</v>
      </c>
      <c r="G607" s="23">
        <v>0</v>
      </c>
      <c r="H607" s="23">
        <v>0</v>
      </c>
      <c r="I607" s="23">
        <v>0</v>
      </c>
      <c r="J607" s="23">
        <v>0</v>
      </c>
      <c r="K607" s="23">
        <v>0</v>
      </c>
      <c r="L607" s="23">
        <v>0</v>
      </c>
      <c r="M607" s="23">
        <v>0</v>
      </c>
      <c r="N607" s="23">
        <v>0</v>
      </c>
      <c r="O607" s="23">
        <v>0</v>
      </c>
      <c r="P607" s="28">
        <v>0</v>
      </c>
    </row>
    <row r="608" spans="1:16" x14ac:dyDescent="0.25">
      <c r="A608" s="27">
        <v>45167</v>
      </c>
      <c r="B608" s="23">
        <v>46</v>
      </c>
      <c r="C608" s="23">
        <v>38</v>
      </c>
      <c r="D608" s="23">
        <v>32</v>
      </c>
      <c r="E608" s="23">
        <v>5</v>
      </c>
      <c r="F608" s="23">
        <v>6</v>
      </c>
      <c r="G608" s="23">
        <v>2</v>
      </c>
      <c r="H608" s="23">
        <v>2</v>
      </c>
      <c r="I608" s="23">
        <v>6</v>
      </c>
      <c r="J608" s="23">
        <v>3</v>
      </c>
      <c r="K608" s="23">
        <v>3</v>
      </c>
      <c r="L608" s="23">
        <v>3</v>
      </c>
      <c r="M608" s="23">
        <v>2</v>
      </c>
      <c r="N608" s="23">
        <v>2</v>
      </c>
      <c r="O608" s="23">
        <v>6</v>
      </c>
      <c r="P608" s="28">
        <v>5</v>
      </c>
    </row>
    <row r="609" spans="1:16" x14ac:dyDescent="0.25">
      <c r="A609" s="27">
        <v>45168</v>
      </c>
      <c r="B609" s="23">
        <v>44</v>
      </c>
      <c r="C609" s="23">
        <v>41</v>
      </c>
      <c r="D609" s="23">
        <v>35</v>
      </c>
      <c r="E609" s="23">
        <v>6</v>
      </c>
      <c r="F609" s="23">
        <v>2</v>
      </c>
      <c r="G609" s="23">
        <v>1</v>
      </c>
      <c r="H609" s="23">
        <v>1</v>
      </c>
      <c r="I609" s="23">
        <v>10</v>
      </c>
      <c r="J609" s="23">
        <v>3</v>
      </c>
      <c r="K609" s="23">
        <v>1</v>
      </c>
      <c r="L609" s="23">
        <v>3</v>
      </c>
      <c r="M609" s="23">
        <v>4</v>
      </c>
      <c r="N609" s="23">
        <v>4</v>
      </c>
      <c r="O609" s="23">
        <v>5</v>
      </c>
      <c r="P609" s="28">
        <v>4</v>
      </c>
    </row>
    <row r="610" spans="1:16" x14ac:dyDescent="0.25">
      <c r="A610" s="27">
        <v>45169</v>
      </c>
      <c r="B610" s="23">
        <v>44</v>
      </c>
      <c r="C610" s="23">
        <v>39</v>
      </c>
      <c r="D610" s="23">
        <v>35</v>
      </c>
      <c r="E610" s="23">
        <v>4</v>
      </c>
      <c r="F610" s="23">
        <v>4</v>
      </c>
      <c r="G610" s="23">
        <v>1</v>
      </c>
      <c r="H610" s="23">
        <v>2</v>
      </c>
      <c r="I610" s="23">
        <v>7</v>
      </c>
      <c r="J610" s="23">
        <v>2</v>
      </c>
      <c r="K610" s="23">
        <v>4</v>
      </c>
      <c r="L610" s="23">
        <v>4</v>
      </c>
      <c r="M610" s="23">
        <v>3</v>
      </c>
      <c r="N610" s="23">
        <v>4</v>
      </c>
      <c r="O610" s="23">
        <v>6</v>
      </c>
      <c r="P610" s="28">
        <v>3</v>
      </c>
    </row>
    <row r="611" spans="1:16" x14ac:dyDescent="0.25">
      <c r="A611" s="27">
        <v>45170</v>
      </c>
      <c r="B611" s="23">
        <v>40</v>
      </c>
      <c r="C611" s="23">
        <v>35</v>
      </c>
      <c r="D611" s="23">
        <v>32</v>
      </c>
      <c r="E611" s="23">
        <v>3</v>
      </c>
      <c r="F611" s="23">
        <v>4</v>
      </c>
      <c r="G611" s="23">
        <v>1</v>
      </c>
      <c r="H611" s="23">
        <v>2</v>
      </c>
      <c r="I611" s="23">
        <v>3</v>
      </c>
      <c r="J611" s="23">
        <v>2</v>
      </c>
      <c r="K611" s="23">
        <v>2</v>
      </c>
      <c r="L611" s="23">
        <v>5</v>
      </c>
      <c r="M611" s="23">
        <v>7</v>
      </c>
      <c r="N611" s="23">
        <v>2</v>
      </c>
      <c r="O611" s="23">
        <v>7</v>
      </c>
      <c r="P611" s="28">
        <v>2</v>
      </c>
    </row>
    <row r="612" spans="1:16" x14ac:dyDescent="0.25">
      <c r="A612" s="10"/>
      <c r="B612" s="10"/>
      <c r="C612" s="10"/>
      <c r="D612" s="10"/>
      <c r="E612" s="10"/>
      <c r="F612" s="10"/>
      <c r="G612" s="10"/>
      <c r="H612" s="10"/>
      <c r="I612" s="10"/>
      <c r="J612" s="10"/>
      <c r="K612" s="10"/>
      <c r="L612" s="10"/>
      <c r="M612" s="10"/>
      <c r="N612" s="10"/>
      <c r="O612" s="10"/>
      <c r="P612" s="10"/>
    </row>
  </sheetData>
  <sheetProtection sheet="1" formatCells="0" formatColumns="0"/>
  <pageMargins left="0.7" right="0.7" top="0.75" bottom="0.75" header="0.3" footer="0.3"/>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616"/>
  <sheetViews>
    <sheetView showGridLines="0" workbookViewId="0"/>
  </sheetViews>
  <sheetFormatPr defaultColWidth="10.90625" defaultRowHeight="15" x14ac:dyDescent="0.25"/>
  <sheetData>
    <row r="1" spans="1:16" ht="17.399999999999999" x14ac:dyDescent="0.3">
      <c r="A1" s="1" t="s">
        <v>205</v>
      </c>
    </row>
    <row r="2" spans="1:16" ht="17.399999999999999" x14ac:dyDescent="0.3">
      <c r="A2" s="1" t="s">
        <v>206</v>
      </c>
    </row>
    <row r="3" spans="1:16" x14ac:dyDescent="0.25">
      <c r="A3" t="s">
        <v>45</v>
      </c>
    </row>
    <row r="4" spans="1:16" x14ac:dyDescent="0.25">
      <c r="A4" t="s">
        <v>114</v>
      </c>
    </row>
    <row r="5" spans="1:16" x14ac:dyDescent="0.25">
      <c r="A5" t="s">
        <v>115</v>
      </c>
    </row>
    <row r="6" spans="1:16" ht="46.8" x14ac:dyDescent="0.25">
      <c r="A6" s="11" t="s">
        <v>194</v>
      </c>
      <c r="B6" s="21" t="s">
        <v>195</v>
      </c>
      <c r="C6" s="21" t="s">
        <v>176</v>
      </c>
      <c r="D6" s="21" t="s">
        <v>177</v>
      </c>
      <c r="E6" s="21" t="s">
        <v>178</v>
      </c>
      <c r="F6" s="21" t="s">
        <v>179</v>
      </c>
      <c r="G6" s="21" t="s">
        <v>180</v>
      </c>
      <c r="H6" s="21" t="s">
        <v>196</v>
      </c>
      <c r="I6" s="21" t="s">
        <v>197</v>
      </c>
      <c r="J6" s="21" t="s">
        <v>198</v>
      </c>
      <c r="K6" s="21" t="s">
        <v>199</v>
      </c>
      <c r="L6" s="21" t="s">
        <v>200</v>
      </c>
      <c r="M6" s="21" t="s">
        <v>201</v>
      </c>
      <c r="N6" s="21" t="s">
        <v>202</v>
      </c>
      <c r="O6" s="21" t="s">
        <v>203</v>
      </c>
      <c r="P6" s="24" t="s">
        <v>204</v>
      </c>
    </row>
    <row r="7" spans="1:16" x14ac:dyDescent="0.25">
      <c r="A7" s="25">
        <v>44562</v>
      </c>
      <c r="B7" s="22">
        <v>176</v>
      </c>
      <c r="C7" s="22">
        <v>162</v>
      </c>
      <c r="D7" s="22">
        <v>152</v>
      </c>
      <c r="E7" s="22">
        <v>10</v>
      </c>
      <c r="F7" s="22">
        <v>10</v>
      </c>
      <c r="G7" s="22">
        <v>4</v>
      </c>
      <c r="H7" s="22">
        <v>5</v>
      </c>
      <c r="I7" s="22">
        <v>28</v>
      </c>
      <c r="J7" s="22">
        <v>11</v>
      </c>
      <c r="K7" s="22">
        <v>16</v>
      </c>
      <c r="L7" s="22">
        <v>14</v>
      </c>
      <c r="M7" s="22">
        <v>15</v>
      </c>
      <c r="N7" s="22">
        <v>33</v>
      </c>
      <c r="O7" s="22">
        <v>20</v>
      </c>
      <c r="P7" s="26">
        <v>10</v>
      </c>
    </row>
    <row r="8" spans="1:16" x14ac:dyDescent="0.25">
      <c r="A8" s="27">
        <v>44563</v>
      </c>
      <c r="B8" s="23">
        <v>170</v>
      </c>
      <c r="C8" s="23">
        <v>154</v>
      </c>
      <c r="D8" s="23">
        <v>143</v>
      </c>
      <c r="E8" s="23">
        <v>11</v>
      </c>
      <c r="F8" s="23">
        <v>10</v>
      </c>
      <c r="G8" s="23">
        <v>6</v>
      </c>
      <c r="H8" s="23">
        <v>2</v>
      </c>
      <c r="I8" s="23">
        <v>19</v>
      </c>
      <c r="J8" s="23">
        <v>15</v>
      </c>
      <c r="K8" s="23">
        <v>12</v>
      </c>
      <c r="L8" s="23">
        <v>17</v>
      </c>
      <c r="M8" s="23">
        <v>17</v>
      </c>
      <c r="N8" s="23">
        <v>40</v>
      </c>
      <c r="O8" s="23">
        <v>14</v>
      </c>
      <c r="P8" s="28">
        <v>7</v>
      </c>
    </row>
    <row r="9" spans="1:16" x14ac:dyDescent="0.25">
      <c r="A9" s="27">
        <v>44564</v>
      </c>
      <c r="B9" s="23">
        <v>179</v>
      </c>
      <c r="C9" s="23">
        <v>164</v>
      </c>
      <c r="D9" s="23">
        <v>153</v>
      </c>
      <c r="E9" s="23">
        <v>10</v>
      </c>
      <c r="F9" s="23">
        <v>8</v>
      </c>
      <c r="G9" s="23">
        <v>7</v>
      </c>
      <c r="H9" s="23">
        <v>8</v>
      </c>
      <c r="I9" s="23">
        <v>24</v>
      </c>
      <c r="J9" s="23">
        <v>13</v>
      </c>
      <c r="K9" s="23">
        <v>9</v>
      </c>
      <c r="L9" s="23">
        <v>15</v>
      </c>
      <c r="M9" s="23">
        <v>17</v>
      </c>
      <c r="N9" s="23">
        <v>30</v>
      </c>
      <c r="O9" s="23">
        <v>19</v>
      </c>
      <c r="P9" s="28">
        <v>18</v>
      </c>
    </row>
    <row r="10" spans="1:16" x14ac:dyDescent="0.25">
      <c r="A10" s="27">
        <v>44565</v>
      </c>
      <c r="B10" s="23">
        <v>204</v>
      </c>
      <c r="C10" s="23">
        <v>176</v>
      </c>
      <c r="D10" s="23">
        <v>158</v>
      </c>
      <c r="E10" s="23">
        <v>18</v>
      </c>
      <c r="F10" s="23">
        <v>24</v>
      </c>
      <c r="G10" s="23">
        <v>4</v>
      </c>
      <c r="H10" s="23">
        <v>7</v>
      </c>
      <c r="I10" s="23">
        <v>26</v>
      </c>
      <c r="J10" s="23">
        <v>11</v>
      </c>
      <c r="K10" s="23">
        <v>20</v>
      </c>
      <c r="L10" s="23">
        <v>21</v>
      </c>
      <c r="M10" s="23">
        <v>19</v>
      </c>
      <c r="N10" s="23">
        <v>27</v>
      </c>
      <c r="O10" s="23">
        <v>19</v>
      </c>
      <c r="P10" s="28">
        <v>8</v>
      </c>
    </row>
    <row r="11" spans="1:16" x14ac:dyDescent="0.25">
      <c r="A11" s="27">
        <v>44566</v>
      </c>
      <c r="B11" s="23">
        <v>181</v>
      </c>
      <c r="C11" s="23">
        <v>165</v>
      </c>
      <c r="D11" s="23">
        <v>160</v>
      </c>
      <c r="E11" s="23">
        <v>5</v>
      </c>
      <c r="F11" s="23">
        <v>12</v>
      </c>
      <c r="G11" s="23">
        <v>4</v>
      </c>
      <c r="H11" s="23">
        <v>7</v>
      </c>
      <c r="I11" s="23">
        <v>31</v>
      </c>
      <c r="J11" s="23">
        <v>14</v>
      </c>
      <c r="K11" s="23">
        <v>14</v>
      </c>
      <c r="L11" s="23">
        <v>12</v>
      </c>
      <c r="M11" s="23">
        <v>27</v>
      </c>
      <c r="N11" s="23">
        <v>24</v>
      </c>
      <c r="O11" s="23">
        <v>20</v>
      </c>
      <c r="P11" s="28">
        <v>11</v>
      </c>
    </row>
    <row r="12" spans="1:16" x14ac:dyDescent="0.25">
      <c r="A12" s="27">
        <v>44567</v>
      </c>
      <c r="B12" s="23">
        <v>222</v>
      </c>
      <c r="C12" s="23">
        <v>198</v>
      </c>
      <c r="D12" s="23">
        <v>184</v>
      </c>
      <c r="E12" s="23">
        <v>13</v>
      </c>
      <c r="F12" s="23">
        <v>20</v>
      </c>
      <c r="G12" s="23">
        <v>4</v>
      </c>
      <c r="H12" s="23">
        <v>7</v>
      </c>
      <c r="I12" s="23">
        <v>42</v>
      </c>
      <c r="J12" s="23">
        <v>15</v>
      </c>
      <c r="K12" s="23">
        <v>15</v>
      </c>
      <c r="L12" s="23">
        <v>24</v>
      </c>
      <c r="M12" s="23">
        <v>18</v>
      </c>
      <c r="N12" s="23">
        <v>38</v>
      </c>
      <c r="O12" s="23">
        <v>15</v>
      </c>
      <c r="P12" s="28">
        <v>10</v>
      </c>
    </row>
    <row r="13" spans="1:16" x14ac:dyDescent="0.25">
      <c r="A13" s="27">
        <v>44568</v>
      </c>
      <c r="B13" s="23">
        <v>229</v>
      </c>
      <c r="C13" s="23">
        <v>214</v>
      </c>
      <c r="D13" s="23">
        <v>206</v>
      </c>
      <c r="E13" s="23">
        <v>7</v>
      </c>
      <c r="F13" s="23">
        <v>12</v>
      </c>
      <c r="G13" s="23">
        <v>3</v>
      </c>
      <c r="H13" s="23">
        <v>6</v>
      </c>
      <c r="I13" s="23">
        <v>40</v>
      </c>
      <c r="J13" s="23">
        <v>28</v>
      </c>
      <c r="K13" s="23">
        <v>20</v>
      </c>
      <c r="L13" s="23">
        <v>23</v>
      </c>
      <c r="M13" s="23">
        <v>18</v>
      </c>
      <c r="N13" s="23">
        <v>32</v>
      </c>
      <c r="O13" s="23">
        <v>24</v>
      </c>
      <c r="P13" s="28">
        <v>15</v>
      </c>
    </row>
    <row r="14" spans="1:16" x14ac:dyDescent="0.25">
      <c r="A14" s="27">
        <v>44569</v>
      </c>
      <c r="B14" s="23">
        <v>216</v>
      </c>
      <c r="C14" s="23">
        <v>197</v>
      </c>
      <c r="D14" s="23">
        <v>188</v>
      </c>
      <c r="E14" s="23">
        <v>8</v>
      </c>
      <c r="F14" s="23">
        <v>14</v>
      </c>
      <c r="G14" s="23">
        <v>5</v>
      </c>
      <c r="H14" s="23">
        <v>9</v>
      </c>
      <c r="I14" s="23">
        <v>41</v>
      </c>
      <c r="J14" s="23">
        <v>16</v>
      </c>
      <c r="K14" s="23">
        <v>16</v>
      </c>
      <c r="L14" s="23">
        <v>18</v>
      </c>
      <c r="M14" s="23">
        <v>23</v>
      </c>
      <c r="N14" s="23">
        <v>35</v>
      </c>
      <c r="O14" s="23">
        <v>18</v>
      </c>
      <c r="P14" s="28">
        <v>12</v>
      </c>
    </row>
    <row r="15" spans="1:16" x14ac:dyDescent="0.25">
      <c r="A15" s="27">
        <v>44570</v>
      </c>
      <c r="B15" s="23">
        <v>242</v>
      </c>
      <c r="C15" s="23">
        <v>214</v>
      </c>
      <c r="D15" s="23">
        <v>200</v>
      </c>
      <c r="E15" s="23">
        <v>12</v>
      </c>
      <c r="F15" s="23">
        <v>18</v>
      </c>
      <c r="G15" s="23">
        <v>10</v>
      </c>
      <c r="H15" s="23">
        <v>8</v>
      </c>
      <c r="I15" s="23">
        <v>40</v>
      </c>
      <c r="J15" s="23">
        <v>19</v>
      </c>
      <c r="K15" s="23">
        <v>19</v>
      </c>
      <c r="L15" s="23">
        <v>21</v>
      </c>
      <c r="M15" s="23">
        <v>15</v>
      </c>
      <c r="N15" s="23">
        <v>35</v>
      </c>
      <c r="O15" s="23">
        <v>28</v>
      </c>
      <c r="P15" s="28">
        <v>15</v>
      </c>
    </row>
    <row r="16" spans="1:16" x14ac:dyDescent="0.25">
      <c r="A16" s="27">
        <v>44571</v>
      </c>
      <c r="B16" s="23">
        <v>243</v>
      </c>
      <c r="C16" s="23">
        <v>215</v>
      </c>
      <c r="D16" s="23">
        <v>201</v>
      </c>
      <c r="E16" s="23">
        <v>14</v>
      </c>
      <c r="F16" s="23">
        <v>25</v>
      </c>
      <c r="G16" s="23">
        <v>3</v>
      </c>
      <c r="H16" s="23">
        <v>12</v>
      </c>
      <c r="I16" s="23">
        <v>30</v>
      </c>
      <c r="J16" s="23">
        <v>23</v>
      </c>
      <c r="K16" s="23">
        <v>20</v>
      </c>
      <c r="L16" s="23">
        <v>22</v>
      </c>
      <c r="M16" s="23">
        <v>29</v>
      </c>
      <c r="N16" s="23">
        <v>34</v>
      </c>
      <c r="O16" s="23">
        <v>18</v>
      </c>
      <c r="P16" s="28">
        <v>13</v>
      </c>
    </row>
    <row r="17" spans="1:16" x14ac:dyDescent="0.25">
      <c r="A17" s="27">
        <v>44572</v>
      </c>
      <c r="B17" s="23">
        <v>234</v>
      </c>
      <c r="C17" s="23">
        <v>216</v>
      </c>
      <c r="D17" s="23">
        <v>202</v>
      </c>
      <c r="E17" s="23">
        <v>12</v>
      </c>
      <c r="F17" s="23">
        <v>17</v>
      </c>
      <c r="G17" s="23">
        <v>1</v>
      </c>
      <c r="H17" s="23">
        <v>8</v>
      </c>
      <c r="I17" s="23">
        <v>29</v>
      </c>
      <c r="J17" s="23">
        <v>22</v>
      </c>
      <c r="K17" s="23">
        <v>24</v>
      </c>
      <c r="L17" s="23">
        <v>22</v>
      </c>
      <c r="M17" s="23">
        <v>29</v>
      </c>
      <c r="N17" s="23">
        <v>40</v>
      </c>
      <c r="O17" s="23">
        <v>19</v>
      </c>
      <c r="P17" s="28">
        <v>9</v>
      </c>
    </row>
    <row r="18" spans="1:16" x14ac:dyDescent="0.25">
      <c r="A18" s="27">
        <v>44573</v>
      </c>
      <c r="B18" s="23">
        <v>239</v>
      </c>
      <c r="C18" s="23">
        <v>212</v>
      </c>
      <c r="D18" s="23">
        <v>199</v>
      </c>
      <c r="E18" s="23">
        <v>13</v>
      </c>
      <c r="F18" s="23">
        <v>16</v>
      </c>
      <c r="G18" s="23">
        <v>11</v>
      </c>
      <c r="H18" s="23">
        <v>18</v>
      </c>
      <c r="I18" s="23">
        <v>33</v>
      </c>
      <c r="J18" s="23">
        <v>23</v>
      </c>
      <c r="K18" s="23">
        <v>15</v>
      </c>
      <c r="L18" s="23">
        <v>17</v>
      </c>
      <c r="M18" s="23">
        <v>15</v>
      </c>
      <c r="N18" s="23">
        <v>31</v>
      </c>
      <c r="O18" s="23">
        <v>30</v>
      </c>
      <c r="P18" s="28">
        <v>17</v>
      </c>
    </row>
    <row r="19" spans="1:16" x14ac:dyDescent="0.25">
      <c r="A19" s="27">
        <v>44574</v>
      </c>
      <c r="B19" s="23">
        <v>243</v>
      </c>
      <c r="C19" s="23">
        <v>204</v>
      </c>
      <c r="D19" s="23">
        <v>191</v>
      </c>
      <c r="E19" s="23">
        <v>13</v>
      </c>
      <c r="F19" s="23">
        <v>29</v>
      </c>
      <c r="G19" s="23">
        <v>10</v>
      </c>
      <c r="H19" s="23">
        <v>9</v>
      </c>
      <c r="I19" s="23">
        <v>31</v>
      </c>
      <c r="J19" s="23">
        <v>18</v>
      </c>
      <c r="K19" s="23">
        <v>16</v>
      </c>
      <c r="L19" s="23">
        <v>23</v>
      </c>
      <c r="M19" s="23">
        <v>24</v>
      </c>
      <c r="N19" s="23">
        <v>38</v>
      </c>
      <c r="O19" s="23">
        <v>23</v>
      </c>
      <c r="P19" s="28">
        <v>9</v>
      </c>
    </row>
    <row r="20" spans="1:16" x14ac:dyDescent="0.25">
      <c r="A20" s="27">
        <v>44575</v>
      </c>
      <c r="B20" s="23">
        <v>236</v>
      </c>
      <c r="C20" s="23">
        <v>213</v>
      </c>
      <c r="D20" s="23">
        <v>203</v>
      </c>
      <c r="E20" s="23">
        <v>9</v>
      </c>
      <c r="F20" s="23">
        <v>20</v>
      </c>
      <c r="G20" s="23">
        <v>3</v>
      </c>
      <c r="H20" s="23">
        <v>13</v>
      </c>
      <c r="I20" s="23">
        <v>35</v>
      </c>
      <c r="J20" s="23">
        <v>17</v>
      </c>
      <c r="K20" s="23">
        <v>15</v>
      </c>
      <c r="L20" s="23">
        <v>25</v>
      </c>
      <c r="M20" s="23">
        <v>27</v>
      </c>
      <c r="N20" s="23">
        <v>40</v>
      </c>
      <c r="O20" s="23">
        <v>19</v>
      </c>
      <c r="P20" s="28">
        <v>12</v>
      </c>
    </row>
    <row r="21" spans="1:16" x14ac:dyDescent="0.25">
      <c r="A21" s="27">
        <v>44576</v>
      </c>
      <c r="B21" s="23">
        <v>260</v>
      </c>
      <c r="C21" s="23">
        <v>232</v>
      </c>
      <c r="D21" s="23">
        <v>211</v>
      </c>
      <c r="E21" s="23">
        <v>20</v>
      </c>
      <c r="F21" s="23">
        <v>24</v>
      </c>
      <c r="G21" s="23">
        <v>4</v>
      </c>
      <c r="H21" s="23">
        <v>11</v>
      </c>
      <c r="I21" s="23">
        <v>36</v>
      </c>
      <c r="J21" s="23">
        <v>26</v>
      </c>
      <c r="K21" s="23">
        <v>16</v>
      </c>
      <c r="L21" s="23">
        <v>25</v>
      </c>
      <c r="M21" s="23">
        <v>14</v>
      </c>
      <c r="N21" s="23">
        <v>38</v>
      </c>
      <c r="O21" s="23">
        <v>31</v>
      </c>
      <c r="P21" s="28">
        <v>14</v>
      </c>
    </row>
    <row r="22" spans="1:16" x14ac:dyDescent="0.25">
      <c r="A22" s="27">
        <v>44577</v>
      </c>
      <c r="B22" s="23">
        <v>257</v>
      </c>
      <c r="C22" s="23">
        <v>232</v>
      </c>
      <c r="D22" s="23">
        <v>211</v>
      </c>
      <c r="E22" s="23">
        <v>20</v>
      </c>
      <c r="F22" s="23">
        <v>19</v>
      </c>
      <c r="G22" s="23">
        <v>6</v>
      </c>
      <c r="H22" s="23">
        <v>18</v>
      </c>
      <c r="I22" s="23">
        <v>37</v>
      </c>
      <c r="J22" s="23">
        <v>22</v>
      </c>
      <c r="K22" s="23">
        <v>18</v>
      </c>
      <c r="L22" s="23">
        <v>24</v>
      </c>
      <c r="M22" s="23">
        <v>17</v>
      </c>
      <c r="N22" s="23">
        <v>35</v>
      </c>
      <c r="O22" s="23">
        <v>25</v>
      </c>
      <c r="P22" s="28">
        <v>15</v>
      </c>
    </row>
    <row r="23" spans="1:16" x14ac:dyDescent="0.25">
      <c r="A23" s="27">
        <v>44578</v>
      </c>
      <c r="B23" s="23">
        <v>232</v>
      </c>
      <c r="C23" s="23">
        <v>210</v>
      </c>
      <c r="D23" s="23">
        <v>197</v>
      </c>
      <c r="E23" s="23">
        <v>13</v>
      </c>
      <c r="F23" s="23">
        <v>17</v>
      </c>
      <c r="G23" s="23">
        <v>5</v>
      </c>
      <c r="H23" s="23">
        <v>12</v>
      </c>
      <c r="I23" s="23">
        <v>33</v>
      </c>
      <c r="J23" s="23">
        <v>27</v>
      </c>
      <c r="K23" s="23">
        <v>15</v>
      </c>
      <c r="L23" s="23">
        <v>23</v>
      </c>
      <c r="M23" s="23">
        <v>23</v>
      </c>
      <c r="N23" s="23">
        <v>25</v>
      </c>
      <c r="O23" s="23">
        <v>25</v>
      </c>
      <c r="P23" s="28">
        <v>14</v>
      </c>
    </row>
    <row r="24" spans="1:16" x14ac:dyDescent="0.25">
      <c r="A24" s="27">
        <v>44579</v>
      </c>
      <c r="B24" s="23">
        <v>234</v>
      </c>
      <c r="C24" s="23">
        <v>214</v>
      </c>
      <c r="D24" s="23">
        <v>202</v>
      </c>
      <c r="E24" s="23">
        <v>11</v>
      </c>
      <c r="F24" s="23">
        <v>14</v>
      </c>
      <c r="G24" s="23">
        <v>6</v>
      </c>
      <c r="H24" s="23">
        <v>18</v>
      </c>
      <c r="I24" s="23">
        <v>33</v>
      </c>
      <c r="J24" s="23">
        <v>23</v>
      </c>
      <c r="K24" s="23">
        <v>23</v>
      </c>
      <c r="L24" s="23">
        <v>19</v>
      </c>
      <c r="M24" s="23">
        <v>20</v>
      </c>
      <c r="N24" s="23">
        <v>33</v>
      </c>
      <c r="O24" s="23">
        <v>25</v>
      </c>
      <c r="P24" s="28">
        <v>8</v>
      </c>
    </row>
    <row r="25" spans="1:16" x14ac:dyDescent="0.25">
      <c r="A25" s="27">
        <v>44580</v>
      </c>
      <c r="B25" s="23">
        <v>221</v>
      </c>
      <c r="C25" s="23">
        <v>193</v>
      </c>
      <c r="D25" s="23">
        <v>180</v>
      </c>
      <c r="E25" s="23">
        <v>13</v>
      </c>
      <c r="F25" s="23">
        <v>21</v>
      </c>
      <c r="G25" s="23">
        <v>7</v>
      </c>
      <c r="H25" s="23">
        <v>11</v>
      </c>
      <c r="I25" s="23">
        <v>28</v>
      </c>
      <c r="J25" s="23">
        <v>16</v>
      </c>
      <c r="K25" s="23">
        <v>17</v>
      </c>
      <c r="L25" s="23">
        <v>23</v>
      </c>
      <c r="M25" s="23">
        <v>29</v>
      </c>
      <c r="N25" s="23">
        <v>20</v>
      </c>
      <c r="O25" s="23">
        <v>22</v>
      </c>
      <c r="P25" s="28">
        <v>14</v>
      </c>
    </row>
    <row r="26" spans="1:16" x14ac:dyDescent="0.25">
      <c r="A26" s="27">
        <v>44581</v>
      </c>
      <c r="B26" s="23">
        <v>202</v>
      </c>
      <c r="C26" s="23">
        <v>174</v>
      </c>
      <c r="D26" s="23">
        <v>167</v>
      </c>
      <c r="E26" s="23">
        <v>6</v>
      </c>
      <c r="F26" s="23">
        <v>21</v>
      </c>
      <c r="G26" s="23">
        <v>7</v>
      </c>
      <c r="H26" s="23">
        <v>18</v>
      </c>
      <c r="I26" s="23">
        <v>24</v>
      </c>
      <c r="J26" s="23">
        <v>21</v>
      </c>
      <c r="K26" s="23">
        <v>12</v>
      </c>
      <c r="L26" s="23">
        <v>16</v>
      </c>
      <c r="M26" s="23">
        <v>17</v>
      </c>
      <c r="N26" s="23">
        <v>22</v>
      </c>
      <c r="O26" s="23">
        <v>26</v>
      </c>
      <c r="P26" s="28">
        <v>11</v>
      </c>
    </row>
    <row r="27" spans="1:16" x14ac:dyDescent="0.25">
      <c r="A27" s="27">
        <v>44582</v>
      </c>
      <c r="B27" s="23">
        <v>248</v>
      </c>
      <c r="C27" s="23">
        <v>224</v>
      </c>
      <c r="D27" s="23">
        <v>213</v>
      </c>
      <c r="E27" s="23">
        <v>11</v>
      </c>
      <c r="F27" s="23">
        <v>19</v>
      </c>
      <c r="G27" s="23">
        <v>5</v>
      </c>
      <c r="H27" s="23">
        <v>16</v>
      </c>
      <c r="I27" s="23">
        <v>34</v>
      </c>
      <c r="J27" s="23">
        <v>30</v>
      </c>
      <c r="K27" s="23">
        <v>20</v>
      </c>
      <c r="L27" s="23">
        <v>20</v>
      </c>
      <c r="M27" s="23">
        <v>22</v>
      </c>
      <c r="N27" s="23">
        <v>34</v>
      </c>
      <c r="O27" s="23">
        <v>26</v>
      </c>
      <c r="P27" s="28">
        <v>11</v>
      </c>
    </row>
    <row r="28" spans="1:16" x14ac:dyDescent="0.25">
      <c r="A28" s="27">
        <v>44583</v>
      </c>
      <c r="B28" s="23">
        <v>224</v>
      </c>
      <c r="C28" s="23">
        <v>201</v>
      </c>
      <c r="D28" s="23">
        <v>195</v>
      </c>
      <c r="E28" s="23">
        <v>6</v>
      </c>
      <c r="F28" s="23">
        <v>17</v>
      </c>
      <c r="G28" s="23">
        <v>6</v>
      </c>
      <c r="H28" s="23">
        <v>17</v>
      </c>
      <c r="I28" s="23">
        <v>33</v>
      </c>
      <c r="J28" s="23">
        <v>19</v>
      </c>
      <c r="K28" s="23">
        <v>24</v>
      </c>
      <c r="L28" s="23">
        <v>18</v>
      </c>
      <c r="M28" s="23">
        <v>23</v>
      </c>
      <c r="N28" s="23">
        <v>28</v>
      </c>
      <c r="O28" s="23">
        <v>26</v>
      </c>
      <c r="P28" s="28">
        <v>7</v>
      </c>
    </row>
    <row r="29" spans="1:16" x14ac:dyDescent="0.25">
      <c r="A29" s="27">
        <v>44584</v>
      </c>
      <c r="B29" s="23">
        <v>218</v>
      </c>
      <c r="C29" s="23">
        <v>189</v>
      </c>
      <c r="D29" s="23">
        <v>181</v>
      </c>
      <c r="E29" s="23">
        <v>8</v>
      </c>
      <c r="F29" s="23">
        <v>22</v>
      </c>
      <c r="G29" s="23">
        <v>7</v>
      </c>
      <c r="H29" s="23">
        <v>15</v>
      </c>
      <c r="I29" s="23">
        <v>32</v>
      </c>
      <c r="J29" s="23">
        <v>23</v>
      </c>
      <c r="K29" s="23">
        <v>21</v>
      </c>
      <c r="L29" s="23">
        <v>22</v>
      </c>
      <c r="M29" s="23">
        <v>20</v>
      </c>
      <c r="N29" s="23">
        <v>20</v>
      </c>
      <c r="O29" s="23">
        <v>13</v>
      </c>
      <c r="P29" s="28">
        <v>15</v>
      </c>
    </row>
    <row r="30" spans="1:16" x14ac:dyDescent="0.25">
      <c r="A30" s="27">
        <v>44585</v>
      </c>
      <c r="B30" s="23">
        <v>229</v>
      </c>
      <c r="C30" s="23">
        <v>210</v>
      </c>
      <c r="D30" s="23">
        <v>204</v>
      </c>
      <c r="E30" s="23">
        <v>6</v>
      </c>
      <c r="F30" s="23">
        <v>14</v>
      </c>
      <c r="G30" s="23">
        <v>5</v>
      </c>
      <c r="H30" s="23">
        <v>15</v>
      </c>
      <c r="I30" s="23">
        <v>38</v>
      </c>
      <c r="J30" s="23">
        <v>19</v>
      </c>
      <c r="K30" s="23">
        <v>15</v>
      </c>
      <c r="L30" s="23">
        <v>24</v>
      </c>
      <c r="M30" s="23">
        <v>22</v>
      </c>
      <c r="N30" s="23">
        <v>28</v>
      </c>
      <c r="O30" s="23">
        <v>27</v>
      </c>
      <c r="P30" s="28">
        <v>16</v>
      </c>
    </row>
    <row r="31" spans="1:16" x14ac:dyDescent="0.25">
      <c r="A31" s="27">
        <v>44586</v>
      </c>
      <c r="B31" s="23">
        <v>194</v>
      </c>
      <c r="C31" s="23">
        <v>169</v>
      </c>
      <c r="D31" s="23">
        <v>156</v>
      </c>
      <c r="E31" s="23">
        <v>12</v>
      </c>
      <c r="F31" s="23">
        <v>19</v>
      </c>
      <c r="G31" s="23">
        <v>6</v>
      </c>
      <c r="H31" s="23">
        <v>8</v>
      </c>
      <c r="I31" s="23">
        <v>22</v>
      </c>
      <c r="J31" s="23">
        <v>20</v>
      </c>
      <c r="K31" s="23">
        <v>15</v>
      </c>
      <c r="L31" s="23">
        <v>21</v>
      </c>
      <c r="M31" s="23">
        <v>19</v>
      </c>
      <c r="N31" s="23">
        <v>21</v>
      </c>
      <c r="O31" s="23">
        <v>10</v>
      </c>
      <c r="P31" s="28">
        <v>20</v>
      </c>
    </row>
    <row r="32" spans="1:16" x14ac:dyDescent="0.25">
      <c r="A32" s="27">
        <v>44587</v>
      </c>
      <c r="B32" s="23">
        <v>196</v>
      </c>
      <c r="C32" s="23">
        <v>183</v>
      </c>
      <c r="D32" s="23">
        <v>175</v>
      </c>
      <c r="E32" s="23">
        <v>8</v>
      </c>
      <c r="F32" s="23">
        <v>12</v>
      </c>
      <c r="G32" s="23">
        <v>1</v>
      </c>
      <c r="H32" s="23">
        <v>11</v>
      </c>
      <c r="I32" s="23">
        <v>21</v>
      </c>
      <c r="J32" s="23">
        <v>21</v>
      </c>
      <c r="K32" s="23">
        <v>25</v>
      </c>
      <c r="L32" s="23">
        <v>20</v>
      </c>
      <c r="M32" s="23">
        <v>20</v>
      </c>
      <c r="N32" s="23">
        <v>24</v>
      </c>
      <c r="O32" s="23">
        <v>21</v>
      </c>
      <c r="P32" s="28">
        <v>12</v>
      </c>
    </row>
    <row r="33" spans="1:16" x14ac:dyDescent="0.25">
      <c r="A33" s="27">
        <v>44588</v>
      </c>
      <c r="B33" s="23">
        <v>220</v>
      </c>
      <c r="C33" s="23">
        <v>189</v>
      </c>
      <c r="D33" s="23">
        <v>179</v>
      </c>
      <c r="E33" s="23">
        <v>10</v>
      </c>
      <c r="F33" s="23">
        <v>19</v>
      </c>
      <c r="G33" s="23">
        <v>12</v>
      </c>
      <c r="H33" s="23">
        <v>12</v>
      </c>
      <c r="I33" s="23">
        <v>34</v>
      </c>
      <c r="J33" s="23">
        <v>24</v>
      </c>
      <c r="K33" s="23">
        <v>21</v>
      </c>
      <c r="L33" s="23">
        <v>22</v>
      </c>
      <c r="M33" s="23">
        <v>15</v>
      </c>
      <c r="N33" s="23">
        <v>16</v>
      </c>
      <c r="O33" s="23">
        <v>22</v>
      </c>
      <c r="P33" s="28">
        <v>13</v>
      </c>
    </row>
    <row r="34" spans="1:16" x14ac:dyDescent="0.25">
      <c r="A34" s="27">
        <v>44589</v>
      </c>
      <c r="B34" s="23">
        <v>202</v>
      </c>
      <c r="C34" s="23">
        <v>177</v>
      </c>
      <c r="D34" s="23">
        <v>163</v>
      </c>
      <c r="E34" s="23">
        <v>14</v>
      </c>
      <c r="F34" s="23">
        <v>21</v>
      </c>
      <c r="G34" s="23">
        <v>4</v>
      </c>
      <c r="H34" s="23">
        <v>18</v>
      </c>
      <c r="I34" s="23">
        <v>26</v>
      </c>
      <c r="J34" s="23">
        <v>21</v>
      </c>
      <c r="K34" s="23">
        <v>16</v>
      </c>
      <c r="L34" s="23">
        <v>14</v>
      </c>
      <c r="M34" s="23">
        <v>14</v>
      </c>
      <c r="N34" s="23">
        <v>20</v>
      </c>
      <c r="O34" s="23">
        <v>20</v>
      </c>
      <c r="P34" s="28">
        <v>14</v>
      </c>
    </row>
    <row r="35" spans="1:16" x14ac:dyDescent="0.25">
      <c r="A35" s="27">
        <v>44590</v>
      </c>
      <c r="B35" s="23">
        <v>181</v>
      </c>
      <c r="C35" s="23">
        <v>163</v>
      </c>
      <c r="D35" s="23">
        <v>160</v>
      </c>
      <c r="E35" s="23">
        <v>3</v>
      </c>
      <c r="F35" s="23">
        <v>13</v>
      </c>
      <c r="G35" s="23">
        <v>5</v>
      </c>
      <c r="H35" s="23">
        <v>9</v>
      </c>
      <c r="I35" s="23">
        <v>29</v>
      </c>
      <c r="J35" s="23">
        <v>23</v>
      </c>
      <c r="K35" s="23">
        <v>9</v>
      </c>
      <c r="L35" s="23">
        <v>27</v>
      </c>
      <c r="M35" s="23">
        <v>20</v>
      </c>
      <c r="N35" s="23">
        <v>20</v>
      </c>
      <c r="O35" s="23">
        <v>11</v>
      </c>
      <c r="P35" s="28">
        <v>12</v>
      </c>
    </row>
    <row r="36" spans="1:16" x14ac:dyDescent="0.25">
      <c r="A36" s="27">
        <v>44591</v>
      </c>
      <c r="B36" s="23">
        <v>191</v>
      </c>
      <c r="C36" s="23">
        <v>176</v>
      </c>
      <c r="D36" s="23">
        <v>169</v>
      </c>
      <c r="E36" s="23">
        <v>6</v>
      </c>
      <c r="F36" s="23">
        <v>13</v>
      </c>
      <c r="G36" s="23">
        <v>2</v>
      </c>
      <c r="H36" s="23">
        <v>11</v>
      </c>
      <c r="I36" s="23">
        <v>28</v>
      </c>
      <c r="J36" s="23">
        <v>13</v>
      </c>
      <c r="K36" s="23">
        <v>14</v>
      </c>
      <c r="L36" s="23">
        <v>21</v>
      </c>
      <c r="M36" s="23">
        <v>18</v>
      </c>
      <c r="N36" s="23">
        <v>19</v>
      </c>
      <c r="O36" s="23">
        <v>23</v>
      </c>
      <c r="P36" s="28">
        <v>22</v>
      </c>
    </row>
    <row r="37" spans="1:16" x14ac:dyDescent="0.25">
      <c r="A37" s="27">
        <v>44592</v>
      </c>
      <c r="B37" s="23">
        <v>208</v>
      </c>
      <c r="C37" s="23">
        <v>192</v>
      </c>
      <c r="D37" s="23">
        <v>178</v>
      </c>
      <c r="E37" s="23">
        <v>13</v>
      </c>
      <c r="F37" s="23">
        <v>14</v>
      </c>
      <c r="G37" s="23">
        <v>2</v>
      </c>
      <c r="H37" s="23">
        <v>13</v>
      </c>
      <c r="I37" s="23">
        <v>22</v>
      </c>
      <c r="J37" s="23">
        <v>28</v>
      </c>
      <c r="K37" s="23">
        <v>17</v>
      </c>
      <c r="L37" s="23">
        <v>26</v>
      </c>
      <c r="M37" s="23">
        <v>20</v>
      </c>
      <c r="N37" s="23">
        <v>13</v>
      </c>
      <c r="O37" s="23">
        <v>26</v>
      </c>
      <c r="P37" s="28">
        <v>13</v>
      </c>
    </row>
    <row r="38" spans="1:16" x14ac:dyDescent="0.25">
      <c r="A38" s="27">
        <v>44593</v>
      </c>
      <c r="B38" s="23">
        <v>207</v>
      </c>
      <c r="C38" s="23">
        <v>181</v>
      </c>
      <c r="D38" s="23">
        <v>170</v>
      </c>
      <c r="E38" s="23">
        <v>11</v>
      </c>
      <c r="F38" s="23">
        <v>18</v>
      </c>
      <c r="G38" s="23">
        <v>8</v>
      </c>
      <c r="H38" s="23">
        <v>19</v>
      </c>
      <c r="I38" s="23">
        <v>31</v>
      </c>
      <c r="J38" s="23">
        <v>11</v>
      </c>
      <c r="K38" s="23">
        <v>19</v>
      </c>
      <c r="L38" s="23">
        <v>18</v>
      </c>
      <c r="M38" s="23">
        <v>14</v>
      </c>
      <c r="N38" s="23">
        <v>17</v>
      </c>
      <c r="O38" s="23">
        <v>31</v>
      </c>
      <c r="P38" s="28">
        <v>10</v>
      </c>
    </row>
    <row r="39" spans="1:16" x14ac:dyDescent="0.25">
      <c r="A39" s="27">
        <v>44594</v>
      </c>
      <c r="B39" s="23">
        <v>188</v>
      </c>
      <c r="C39" s="23">
        <v>173</v>
      </c>
      <c r="D39" s="23">
        <v>164</v>
      </c>
      <c r="E39" s="23">
        <v>9</v>
      </c>
      <c r="F39" s="23">
        <v>11</v>
      </c>
      <c r="G39" s="23">
        <v>4</v>
      </c>
      <c r="H39" s="23">
        <v>8</v>
      </c>
      <c r="I39" s="23">
        <v>17</v>
      </c>
      <c r="J39" s="23">
        <v>12</v>
      </c>
      <c r="K39" s="23">
        <v>24</v>
      </c>
      <c r="L39" s="23">
        <v>26</v>
      </c>
      <c r="M39" s="23">
        <v>17</v>
      </c>
      <c r="N39" s="23">
        <v>19</v>
      </c>
      <c r="O39" s="23">
        <v>24</v>
      </c>
      <c r="P39" s="28">
        <v>17</v>
      </c>
    </row>
    <row r="40" spans="1:16" x14ac:dyDescent="0.25">
      <c r="A40" s="27">
        <v>44595</v>
      </c>
      <c r="B40" s="23">
        <v>191</v>
      </c>
      <c r="C40" s="23">
        <v>170</v>
      </c>
      <c r="D40" s="23">
        <v>163</v>
      </c>
      <c r="E40" s="23">
        <v>7</v>
      </c>
      <c r="F40" s="23">
        <v>15</v>
      </c>
      <c r="G40" s="23">
        <v>6</v>
      </c>
      <c r="H40" s="23">
        <v>13</v>
      </c>
      <c r="I40" s="23">
        <v>28</v>
      </c>
      <c r="J40" s="23">
        <v>14</v>
      </c>
      <c r="K40" s="23">
        <v>18</v>
      </c>
      <c r="L40" s="23">
        <v>14</v>
      </c>
      <c r="M40" s="23">
        <v>16</v>
      </c>
      <c r="N40" s="23">
        <v>12</v>
      </c>
      <c r="O40" s="23">
        <v>25</v>
      </c>
      <c r="P40" s="28">
        <v>23</v>
      </c>
    </row>
    <row r="41" spans="1:16" x14ac:dyDescent="0.25">
      <c r="A41" s="27">
        <v>44596</v>
      </c>
      <c r="B41" s="23">
        <v>160</v>
      </c>
      <c r="C41" s="23">
        <v>150</v>
      </c>
      <c r="D41" s="23">
        <v>144</v>
      </c>
      <c r="E41" s="23">
        <v>6</v>
      </c>
      <c r="F41" s="23">
        <v>7</v>
      </c>
      <c r="G41" s="23">
        <v>3</v>
      </c>
      <c r="H41" s="23">
        <v>11</v>
      </c>
      <c r="I41" s="23">
        <v>12</v>
      </c>
      <c r="J41" s="23">
        <v>13</v>
      </c>
      <c r="K41" s="23">
        <v>20</v>
      </c>
      <c r="L41" s="23">
        <v>19</v>
      </c>
      <c r="M41" s="23">
        <v>20</v>
      </c>
      <c r="N41" s="23">
        <v>22</v>
      </c>
      <c r="O41" s="23">
        <v>14</v>
      </c>
      <c r="P41" s="28">
        <v>13</v>
      </c>
    </row>
    <row r="42" spans="1:16" x14ac:dyDescent="0.25">
      <c r="A42" s="27">
        <v>44597</v>
      </c>
      <c r="B42" s="23">
        <v>173</v>
      </c>
      <c r="C42" s="23">
        <v>159</v>
      </c>
      <c r="D42" s="23">
        <v>152</v>
      </c>
      <c r="E42" s="23">
        <v>6</v>
      </c>
      <c r="F42" s="23">
        <v>12</v>
      </c>
      <c r="G42" s="23">
        <v>2</v>
      </c>
      <c r="H42" s="23">
        <v>10</v>
      </c>
      <c r="I42" s="23">
        <v>33</v>
      </c>
      <c r="J42" s="23">
        <v>15</v>
      </c>
      <c r="K42" s="23">
        <v>10</v>
      </c>
      <c r="L42" s="23">
        <v>19</v>
      </c>
      <c r="M42" s="23">
        <v>15</v>
      </c>
      <c r="N42" s="23">
        <v>12</v>
      </c>
      <c r="O42" s="23">
        <v>26</v>
      </c>
      <c r="P42" s="28">
        <v>12</v>
      </c>
    </row>
    <row r="43" spans="1:16" x14ac:dyDescent="0.25">
      <c r="A43" s="27">
        <v>44598</v>
      </c>
      <c r="B43" s="23">
        <v>158</v>
      </c>
      <c r="C43" s="23">
        <v>139</v>
      </c>
      <c r="D43" s="23">
        <v>132</v>
      </c>
      <c r="E43" s="23">
        <v>7</v>
      </c>
      <c r="F43" s="23">
        <v>13</v>
      </c>
      <c r="G43" s="23">
        <v>6</v>
      </c>
      <c r="H43" s="23">
        <v>7</v>
      </c>
      <c r="I43" s="23">
        <v>22</v>
      </c>
      <c r="J43" s="23">
        <v>13</v>
      </c>
      <c r="K43" s="23">
        <v>6</v>
      </c>
      <c r="L43" s="23">
        <v>18</v>
      </c>
      <c r="M43" s="23">
        <v>14</v>
      </c>
      <c r="N43" s="23">
        <v>9</v>
      </c>
      <c r="O43" s="23">
        <v>22</v>
      </c>
      <c r="P43" s="28">
        <v>21</v>
      </c>
    </row>
    <row r="44" spans="1:16" x14ac:dyDescent="0.25">
      <c r="A44" s="27">
        <v>44599</v>
      </c>
      <c r="B44" s="23">
        <v>140</v>
      </c>
      <c r="C44" s="23">
        <v>127</v>
      </c>
      <c r="D44" s="23">
        <v>124</v>
      </c>
      <c r="E44" s="23">
        <v>3</v>
      </c>
      <c r="F44" s="23">
        <v>8</v>
      </c>
      <c r="G44" s="23">
        <v>5</v>
      </c>
      <c r="H44" s="23">
        <v>7</v>
      </c>
      <c r="I44" s="23">
        <v>18</v>
      </c>
      <c r="J44" s="23">
        <v>15</v>
      </c>
      <c r="K44" s="23">
        <v>4</v>
      </c>
      <c r="L44" s="23">
        <v>15</v>
      </c>
      <c r="M44" s="23">
        <v>21</v>
      </c>
      <c r="N44" s="23">
        <v>15</v>
      </c>
      <c r="O44" s="23">
        <v>20</v>
      </c>
      <c r="P44" s="28">
        <v>9</v>
      </c>
    </row>
    <row r="45" spans="1:16" x14ac:dyDescent="0.25">
      <c r="A45" s="27">
        <v>44600</v>
      </c>
      <c r="B45" s="23">
        <v>159</v>
      </c>
      <c r="C45" s="23">
        <v>141</v>
      </c>
      <c r="D45" s="23">
        <v>135</v>
      </c>
      <c r="E45" s="23">
        <v>5</v>
      </c>
      <c r="F45" s="23">
        <v>12</v>
      </c>
      <c r="G45" s="23">
        <v>6</v>
      </c>
      <c r="H45" s="23">
        <v>10</v>
      </c>
      <c r="I45" s="23">
        <v>19</v>
      </c>
      <c r="J45" s="23">
        <v>14</v>
      </c>
      <c r="K45" s="23">
        <v>11</v>
      </c>
      <c r="L45" s="23">
        <v>26</v>
      </c>
      <c r="M45" s="23">
        <v>11</v>
      </c>
      <c r="N45" s="23">
        <v>9</v>
      </c>
      <c r="O45" s="23">
        <v>25</v>
      </c>
      <c r="P45" s="28">
        <v>10</v>
      </c>
    </row>
    <row r="46" spans="1:16" x14ac:dyDescent="0.25">
      <c r="A46" s="27">
        <v>44601</v>
      </c>
      <c r="B46" s="23">
        <v>144</v>
      </c>
      <c r="C46" s="23">
        <v>127</v>
      </c>
      <c r="D46" s="23">
        <v>118</v>
      </c>
      <c r="E46" s="23">
        <v>9</v>
      </c>
      <c r="F46" s="23">
        <v>10</v>
      </c>
      <c r="G46" s="23">
        <v>7</v>
      </c>
      <c r="H46" s="23">
        <v>9</v>
      </c>
      <c r="I46" s="23">
        <v>13</v>
      </c>
      <c r="J46" s="23">
        <v>12</v>
      </c>
      <c r="K46" s="23">
        <v>10</v>
      </c>
      <c r="L46" s="23">
        <v>10</v>
      </c>
      <c r="M46" s="23">
        <v>18</v>
      </c>
      <c r="N46" s="23">
        <v>8</v>
      </c>
      <c r="O46" s="23">
        <v>23</v>
      </c>
      <c r="P46" s="28">
        <v>15</v>
      </c>
    </row>
    <row r="47" spans="1:16" x14ac:dyDescent="0.25">
      <c r="A47" s="27">
        <v>44602</v>
      </c>
      <c r="B47" s="23">
        <v>124</v>
      </c>
      <c r="C47" s="23">
        <v>108</v>
      </c>
      <c r="D47" s="23">
        <v>106</v>
      </c>
      <c r="E47" s="23">
        <v>2</v>
      </c>
      <c r="F47" s="23">
        <v>12</v>
      </c>
      <c r="G47" s="23">
        <v>4</v>
      </c>
      <c r="H47" s="23">
        <v>12</v>
      </c>
      <c r="I47" s="23">
        <v>9</v>
      </c>
      <c r="J47" s="23">
        <v>12</v>
      </c>
      <c r="K47" s="23">
        <v>10</v>
      </c>
      <c r="L47" s="23">
        <v>12</v>
      </c>
      <c r="M47" s="23">
        <v>16</v>
      </c>
      <c r="N47" s="23">
        <v>10</v>
      </c>
      <c r="O47" s="23">
        <v>16</v>
      </c>
      <c r="P47" s="28">
        <v>9</v>
      </c>
    </row>
    <row r="48" spans="1:16" x14ac:dyDescent="0.25">
      <c r="A48" s="27">
        <v>44603</v>
      </c>
      <c r="B48" s="23">
        <v>142</v>
      </c>
      <c r="C48" s="23">
        <v>131</v>
      </c>
      <c r="D48" s="23">
        <v>121</v>
      </c>
      <c r="E48" s="23">
        <v>9</v>
      </c>
      <c r="F48" s="23">
        <v>5</v>
      </c>
      <c r="G48" s="23">
        <v>6</v>
      </c>
      <c r="H48" s="23">
        <v>6</v>
      </c>
      <c r="I48" s="23">
        <v>16</v>
      </c>
      <c r="J48" s="23">
        <v>10</v>
      </c>
      <c r="K48" s="23">
        <v>12</v>
      </c>
      <c r="L48" s="23">
        <v>15</v>
      </c>
      <c r="M48" s="23">
        <v>11</v>
      </c>
      <c r="N48" s="23">
        <v>14</v>
      </c>
      <c r="O48" s="23">
        <v>25</v>
      </c>
      <c r="P48" s="28">
        <v>12</v>
      </c>
    </row>
    <row r="49" spans="1:16" x14ac:dyDescent="0.25">
      <c r="A49" s="27">
        <v>44604</v>
      </c>
      <c r="B49" s="23">
        <v>144</v>
      </c>
      <c r="C49" s="23">
        <v>130</v>
      </c>
      <c r="D49" s="23">
        <v>127</v>
      </c>
      <c r="E49" s="23">
        <v>3</v>
      </c>
      <c r="F49" s="23">
        <v>10</v>
      </c>
      <c r="G49" s="23">
        <v>4</v>
      </c>
      <c r="H49" s="23">
        <v>7</v>
      </c>
      <c r="I49" s="23">
        <v>13</v>
      </c>
      <c r="J49" s="23">
        <v>12</v>
      </c>
      <c r="K49" s="23">
        <v>18</v>
      </c>
      <c r="L49" s="23">
        <v>13</v>
      </c>
      <c r="M49" s="23">
        <v>21</v>
      </c>
      <c r="N49" s="23">
        <v>8</v>
      </c>
      <c r="O49" s="23">
        <v>26</v>
      </c>
      <c r="P49" s="28">
        <v>9</v>
      </c>
    </row>
    <row r="50" spans="1:16" x14ac:dyDescent="0.25">
      <c r="A50" s="27">
        <v>44605</v>
      </c>
      <c r="B50" s="23">
        <v>127</v>
      </c>
      <c r="C50" s="23">
        <v>116</v>
      </c>
      <c r="D50" s="23">
        <v>110</v>
      </c>
      <c r="E50" s="23">
        <v>6</v>
      </c>
      <c r="F50" s="23">
        <v>9</v>
      </c>
      <c r="G50" s="23">
        <v>2</v>
      </c>
      <c r="H50" s="23">
        <v>6</v>
      </c>
      <c r="I50" s="23">
        <v>18</v>
      </c>
      <c r="J50" s="23">
        <v>11</v>
      </c>
      <c r="K50" s="23">
        <v>7</v>
      </c>
      <c r="L50" s="23">
        <v>14</v>
      </c>
      <c r="M50" s="23">
        <v>8</v>
      </c>
      <c r="N50" s="23">
        <v>15</v>
      </c>
      <c r="O50" s="23">
        <v>23</v>
      </c>
      <c r="P50" s="28">
        <v>8</v>
      </c>
    </row>
    <row r="51" spans="1:16" x14ac:dyDescent="0.25">
      <c r="A51" s="27">
        <v>44606</v>
      </c>
      <c r="B51" s="23">
        <v>158</v>
      </c>
      <c r="C51" s="23">
        <v>140</v>
      </c>
      <c r="D51" s="23">
        <v>131</v>
      </c>
      <c r="E51" s="23">
        <v>9</v>
      </c>
      <c r="F51" s="23">
        <v>15</v>
      </c>
      <c r="G51" s="23">
        <v>3</v>
      </c>
      <c r="H51" s="23">
        <v>7</v>
      </c>
      <c r="I51" s="23">
        <v>12</v>
      </c>
      <c r="J51" s="23">
        <v>20</v>
      </c>
      <c r="K51" s="23">
        <v>11</v>
      </c>
      <c r="L51" s="23">
        <v>13</v>
      </c>
      <c r="M51" s="23">
        <v>18</v>
      </c>
      <c r="N51" s="23">
        <v>16</v>
      </c>
      <c r="O51" s="23">
        <v>22</v>
      </c>
      <c r="P51" s="28">
        <v>12</v>
      </c>
    </row>
    <row r="52" spans="1:16" x14ac:dyDescent="0.25">
      <c r="A52" s="27">
        <v>44607</v>
      </c>
      <c r="B52" s="23">
        <v>133</v>
      </c>
      <c r="C52" s="23">
        <v>117</v>
      </c>
      <c r="D52" s="23">
        <v>103</v>
      </c>
      <c r="E52" s="23">
        <v>14</v>
      </c>
      <c r="F52" s="23">
        <v>13</v>
      </c>
      <c r="G52" s="23">
        <v>3</v>
      </c>
      <c r="H52" s="23">
        <v>2</v>
      </c>
      <c r="I52" s="23">
        <v>13</v>
      </c>
      <c r="J52" s="23">
        <v>12</v>
      </c>
      <c r="K52" s="23">
        <v>8</v>
      </c>
      <c r="L52" s="23">
        <v>10</v>
      </c>
      <c r="M52" s="23">
        <v>20</v>
      </c>
      <c r="N52" s="23">
        <v>9</v>
      </c>
      <c r="O52" s="23">
        <v>22</v>
      </c>
      <c r="P52" s="28">
        <v>7</v>
      </c>
    </row>
    <row r="53" spans="1:16" x14ac:dyDescent="0.25">
      <c r="A53" s="27">
        <v>44608</v>
      </c>
      <c r="B53" s="23">
        <v>133</v>
      </c>
      <c r="C53" s="23">
        <v>117</v>
      </c>
      <c r="D53" s="23">
        <v>110</v>
      </c>
      <c r="E53" s="23">
        <v>7</v>
      </c>
      <c r="F53" s="23">
        <v>10</v>
      </c>
      <c r="G53" s="23">
        <v>6</v>
      </c>
      <c r="H53" s="23">
        <v>7</v>
      </c>
      <c r="I53" s="23">
        <v>15</v>
      </c>
      <c r="J53" s="23">
        <v>10</v>
      </c>
      <c r="K53" s="23">
        <v>11</v>
      </c>
      <c r="L53" s="23">
        <v>11</v>
      </c>
      <c r="M53" s="23">
        <v>13</v>
      </c>
      <c r="N53" s="23">
        <v>10</v>
      </c>
      <c r="O53" s="23">
        <v>16</v>
      </c>
      <c r="P53" s="28">
        <v>17</v>
      </c>
    </row>
    <row r="54" spans="1:16" x14ac:dyDescent="0.25">
      <c r="A54" s="27">
        <v>44609</v>
      </c>
      <c r="B54" s="23">
        <v>125</v>
      </c>
      <c r="C54" s="23">
        <v>111</v>
      </c>
      <c r="D54" s="23">
        <v>104</v>
      </c>
      <c r="E54" s="23">
        <v>6</v>
      </c>
      <c r="F54" s="23">
        <v>11</v>
      </c>
      <c r="G54" s="23">
        <v>3</v>
      </c>
      <c r="H54" s="23">
        <v>7</v>
      </c>
      <c r="I54" s="23">
        <v>16</v>
      </c>
      <c r="J54" s="23">
        <v>8</v>
      </c>
      <c r="K54" s="23">
        <v>8</v>
      </c>
      <c r="L54" s="23">
        <v>16</v>
      </c>
      <c r="M54" s="23">
        <v>10</v>
      </c>
      <c r="N54" s="23">
        <v>13</v>
      </c>
      <c r="O54" s="23">
        <v>12</v>
      </c>
      <c r="P54" s="28">
        <v>14</v>
      </c>
    </row>
    <row r="55" spans="1:16" x14ac:dyDescent="0.25">
      <c r="A55" s="27">
        <v>44610</v>
      </c>
      <c r="B55" s="23">
        <v>127</v>
      </c>
      <c r="C55" s="23">
        <v>105</v>
      </c>
      <c r="D55" s="23">
        <v>101</v>
      </c>
      <c r="E55" s="23">
        <v>4</v>
      </c>
      <c r="F55" s="23">
        <v>16</v>
      </c>
      <c r="G55" s="23">
        <v>6</v>
      </c>
      <c r="H55" s="23">
        <v>6</v>
      </c>
      <c r="I55" s="23">
        <v>13</v>
      </c>
      <c r="J55" s="23">
        <v>10</v>
      </c>
      <c r="K55" s="23">
        <v>10</v>
      </c>
      <c r="L55" s="23">
        <v>15</v>
      </c>
      <c r="M55" s="23">
        <v>10</v>
      </c>
      <c r="N55" s="23">
        <v>9</v>
      </c>
      <c r="O55" s="23">
        <v>22</v>
      </c>
      <c r="P55" s="28">
        <v>6</v>
      </c>
    </row>
    <row r="56" spans="1:16" x14ac:dyDescent="0.25">
      <c r="A56" s="27">
        <v>44611</v>
      </c>
      <c r="B56" s="23">
        <v>121</v>
      </c>
      <c r="C56" s="23">
        <v>106</v>
      </c>
      <c r="D56" s="23">
        <v>97</v>
      </c>
      <c r="E56" s="23">
        <v>9</v>
      </c>
      <c r="F56" s="23">
        <v>8</v>
      </c>
      <c r="G56" s="23">
        <v>7</v>
      </c>
      <c r="H56" s="23">
        <v>3</v>
      </c>
      <c r="I56" s="23">
        <v>11</v>
      </c>
      <c r="J56" s="23">
        <v>15</v>
      </c>
      <c r="K56" s="23">
        <v>15</v>
      </c>
      <c r="L56" s="23">
        <v>11</v>
      </c>
      <c r="M56" s="23">
        <v>9</v>
      </c>
      <c r="N56" s="23">
        <v>4</v>
      </c>
      <c r="O56" s="23">
        <v>18</v>
      </c>
      <c r="P56" s="28">
        <v>11</v>
      </c>
    </row>
    <row r="57" spans="1:16" x14ac:dyDescent="0.25">
      <c r="A57" s="27">
        <v>44612</v>
      </c>
      <c r="B57" s="23">
        <v>127</v>
      </c>
      <c r="C57" s="23">
        <v>107</v>
      </c>
      <c r="D57" s="23">
        <v>106</v>
      </c>
      <c r="E57" s="23">
        <v>1</v>
      </c>
      <c r="F57" s="23">
        <v>12</v>
      </c>
      <c r="G57" s="23">
        <v>8</v>
      </c>
      <c r="H57" s="23">
        <v>6</v>
      </c>
      <c r="I57" s="23">
        <v>11</v>
      </c>
      <c r="J57" s="23">
        <v>12</v>
      </c>
      <c r="K57" s="23">
        <v>8</v>
      </c>
      <c r="L57" s="23">
        <v>8</v>
      </c>
      <c r="M57" s="23">
        <v>11</v>
      </c>
      <c r="N57" s="23">
        <v>11</v>
      </c>
      <c r="O57" s="23">
        <v>24</v>
      </c>
      <c r="P57" s="28">
        <v>15</v>
      </c>
    </row>
    <row r="58" spans="1:16" x14ac:dyDescent="0.25">
      <c r="A58" s="27">
        <v>44613</v>
      </c>
      <c r="B58" s="23">
        <v>110</v>
      </c>
      <c r="C58" s="23">
        <v>95</v>
      </c>
      <c r="D58" s="23">
        <v>94</v>
      </c>
      <c r="E58" s="23">
        <v>1</v>
      </c>
      <c r="F58" s="23">
        <v>11</v>
      </c>
      <c r="G58" s="23">
        <v>4</v>
      </c>
      <c r="H58" s="23">
        <v>3</v>
      </c>
      <c r="I58" s="23">
        <v>11</v>
      </c>
      <c r="J58" s="23">
        <v>5</v>
      </c>
      <c r="K58" s="23">
        <v>12</v>
      </c>
      <c r="L58" s="23">
        <v>12</v>
      </c>
      <c r="M58" s="23">
        <v>9</v>
      </c>
      <c r="N58" s="23">
        <v>14</v>
      </c>
      <c r="O58" s="23">
        <v>20</v>
      </c>
      <c r="P58" s="28">
        <v>8</v>
      </c>
    </row>
    <row r="59" spans="1:16" x14ac:dyDescent="0.25">
      <c r="A59" s="27">
        <v>44614</v>
      </c>
      <c r="B59" s="23">
        <v>120</v>
      </c>
      <c r="C59" s="23">
        <v>98</v>
      </c>
      <c r="D59" s="23">
        <v>92</v>
      </c>
      <c r="E59" s="23">
        <v>6</v>
      </c>
      <c r="F59" s="23">
        <v>16</v>
      </c>
      <c r="G59" s="23">
        <v>6</v>
      </c>
      <c r="H59" s="23">
        <v>4</v>
      </c>
      <c r="I59" s="23">
        <v>7</v>
      </c>
      <c r="J59" s="23">
        <v>7</v>
      </c>
      <c r="K59" s="23">
        <v>13</v>
      </c>
      <c r="L59" s="23">
        <v>12</v>
      </c>
      <c r="M59" s="23">
        <v>8</v>
      </c>
      <c r="N59" s="23">
        <v>9</v>
      </c>
      <c r="O59" s="23">
        <v>17</v>
      </c>
      <c r="P59" s="28">
        <v>15</v>
      </c>
    </row>
    <row r="60" spans="1:16" x14ac:dyDescent="0.25">
      <c r="A60" s="27">
        <v>44615</v>
      </c>
      <c r="B60" s="23">
        <v>119</v>
      </c>
      <c r="C60" s="23">
        <v>99</v>
      </c>
      <c r="D60" s="23">
        <v>91</v>
      </c>
      <c r="E60" s="23">
        <v>8</v>
      </c>
      <c r="F60" s="23">
        <v>17</v>
      </c>
      <c r="G60" s="23">
        <v>3</v>
      </c>
      <c r="H60" s="23">
        <v>1</v>
      </c>
      <c r="I60" s="23">
        <v>16</v>
      </c>
      <c r="J60" s="23">
        <v>10</v>
      </c>
      <c r="K60" s="23">
        <v>5</v>
      </c>
      <c r="L60" s="23">
        <v>12</v>
      </c>
      <c r="M60" s="23">
        <v>12</v>
      </c>
      <c r="N60" s="23">
        <v>7</v>
      </c>
      <c r="O60" s="23">
        <v>19</v>
      </c>
      <c r="P60" s="28">
        <v>9</v>
      </c>
    </row>
    <row r="61" spans="1:16" x14ac:dyDescent="0.25">
      <c r="A61" s="27">
        <v>44616</v>
      </c>
      <c r="B61" s="23">
        <v>126</v>
      </c>
      <c r="C61" s="23">
        <v>105</v>
      </c>
      <c r="D61" s="23">
        <v>95</v>
      </c>
      <c r="E61" s="23">
        <v>10</v>
      </c>
      <c r="F61" s="23">
        <v>16</v>
      </c>
      <c r="G61" s="23">
        <v>5</v>
      </c>
      <c r="H61" s="23">
        <v>4</v>
      </c>
      <c r="I61" s="23">
        <v>16</v>
      </c>
      <c r="J61" s="23">
        <v>13</v>
      </c>
      <c r="K61" s="23">
        <v>8</v>
      </c>
      <c r="L61" s="23">
        <v>13</v>
      </c>
      <c r="M61" s="23">
        <v>13</v>
      </c>
      <c r="N61" s="23">
        <v>8</v>
      </c>
      <c r="O61" s="23">
        <v>9</v>
      </c>
      <c r="P61" s="28">
        <v>11</v>
      </c>
    </row>
    <row r="62" spans="1:16" x14ac:dyDescent="0.25">
      <c r="A62" s="27">
        <v>44617</v>
      </c>
      <c r="B62" s="23">
        <v>121</v>
      </c>
      <c r="C62" s="23">
        <v>102</v>
      </c>
      <c r="D62" s="23">
        <v>90</v>
      </c>
      <c r="E62" s="23">
        <v>11</v>
      </c>
      <c r="F62" s="23">
        <v>11</v>
      </c>
      <c r="G62" s="23">
        <v>8</v>
      </c>
      <c r="H62" s="23">
        <v>5</v>
      </c>
      <c r="I62" s="23">
        <v>6</v>
      </c>
      <c r="J62" s="23">
        <v>5</v>
      </c>
      <c r="K62" s="23">
        <v>12</v>
      </c>
      <c r="L62" s="23">
        <v>14</v>
      </c>
      <c r="M62" s="23">
        <v>13</v>
      </c>
      <c r="N62" s="23">
        <v>7</v>
      </c>
      <c r="O62" s="23">
        <v>18</v>
      </c>
      <c r="P62" s="28">
        <v>10</v>
      </c>
    </row>
    <row r="63" spans="1:16" x14ac:dyDescent="0.25">
      <c r="A63" s="27">
        <v>44618</v>
      </c>
      <c r="B63" s="23">
        <v>103</v>
      </c>
      <c r="C63" s="23">
        <v>87</v>
      </c>
      <c r="D63" s="23">
        <v>81</v>
      </c>
      <c r="E63" s="23">
        <v>6</v>
      </c>
      <c r="F63" s="23">
        <v>14</v>
      </c>
      <c r="G63" s="23">
        <v>2</v>
      </c>
      <c r="H63" s="23">
        <v>3</v>
      </c>
      <c r="I63" s="23">
        <v>10</v>
      </c>
      <c r="J63" s="23">
        <v>9</v>
      </c>
      <c r="K63" s="23">
        <v>9</v>
      </c>
      <c r="L63" s="23">
        <v>8</v>
      </c>
      <c r="M63" s="23">
        <v>9</v>
      </c>
      <c r="N63" s="23">
        <v>6</v>
      </c>
      <c r="O63" s="23">
        <v>19</v>
      </c>
      <c r="P63" s="28">
        <v>8</v>
      </c>
    </row>
    <row r="64" spans="1:16" x14ac:dyDescent="0.25">
      <c r="A64" s="27">
        <v>44619</v>
      </c>
      <c r="B64" s="23">
        <v>119</v>
      </c>
      <c r="C64" s="23">
        <v>96</v>
      </c>
      <c r="D64" s="23">
        <v>92</v>
      </c>
      <c r="E64" s="23">
        <v>4</v>
      </c>
      <c r="F64" s="23">
        <v>18</v>
      </c>
      <c r="G64" s="23">
        <v>5</v>
      </c>
      <c r="H64" s="23">
        <v>6</v>
      </c>
      <c r="I64" s="23">
        <v>7</v>
      </c>
      <c r="J64" s="23">
        <v>9</v>
      </c>
      <c r="K64" s="23">
        <v>8</v>
      </c>
      <c r="L64" s="23">
        <v>9</v>
      </c>
      <c r="M64" s="23">
        <v>10</v>
      </c>
      <c r="N64" s="23">
        <v>14</v>
      </c>
      <c r="O64" s="23">
        <v>17</v>
      </c>
      <c r="P64" s="28">
        <v>12</v>
      </c>
    </row>
    <row r="65" spans="1:16" x14ac:dyDescent="0.25">
      <c r="A65" s="27">
        <v>44620</v>
      </c>
      <c r="B65" s="23">
        <v>105</v>
      </c>
      <c r="C65" s="23">
        <v>88</v>
      </c>
      <c r="D65" s="23">
        <v>82</v>
      </c>
      <c r="E65" s="23">
        <v>6</v>
      </c>
      <c r="F65" s="23">
        <v>13</v>
      </c>
      <c r="G65" s="23">
        <v>4</v>
      </c>
      <c r="H65" s="23">
        <v>2</v>
      </c>
      <c r="I65" s="23">
        <v>19</v>
      </c>
      <c r="J65" s="23">
        <v>3</v>
      </c>
      <c r="K65" s="23">
        <v>6</v>
      </c>
      <c r="L65" s="23">
        <v>15</v>
      </c>
      <c r="M65" s="23">
        <v>13</v>
      </c>
      <c r="N65" s="23">
        <v>3</v>
      </c>
      <c r="O65" s="23">
        <v>13</v>
      </c>
      <c r="P65" s="28">
        <v>8</v>
      </c>
    </row>
    <row r="66" spans="1:16" x14ac:dyDescent="0.25">
      <c r="A66" s="27">
        <v>44621</v>
      </c>
      <c r="B66" s="23">
        <v>106</v>
      </c>
      <c r="C66" s="23">
        <v>86</v>
      </c>
      <c r="D66" s="23">
        <v>82</v>
      </c>
      <c r="E66" s="23">
        <v>4</v>
      </c>
      <c r="F66" s="23">
        <v>14</v>
      </c>
      <c r="G66" s="23">
        <v>6</v>
      </c>
      <c r="H66" s="23">
        <v>5</v>
      </c>
      <c r="I66" s="23">
        <v>16</v>
      </c>
      <c r="J66" s="23">
        <v>9</v>
      </c>
      <c r="K66" s="23">
        <v>4</v>
      </c>
      <c r="L66" s="23">
        <v>7</v>
      </c>
      <c r="M66" s="23">
        <v>10</v>
      </c>
      <c r="N66" s="23">
        <v>8</v>
      </c>
      <c r="O66" s="23">
        <v>19</v>
      </c>
      <c r="P66" s="28">
        <v>4</v>
      </c>
    </row>
    <row r="67" spans="1:16" x14ac:dyDescent="0.25">
      <c r="A67" s="27">
        <v>44622</v>
      </c>
      <c r="B67" s="23">
        <v>146</v>
      </c>
      <c r="C67" s="23">
        <v>112</v>
      </c>
      <c r="D67" s="23">
        <v>108</v>
      </c>
      <c r="E67" s="23">
        <v>4</v>
      </c>
      <c r="F67" s="23">
        <v>27</v>
      </c>
      <c r="G67" s="23">
        <v>7</v>
      </c>
      <c r="H67" s="23">
        <v>9</v>
      </c>
      <c r="I67" s="23">
        <v>11</v>
      </c>
      <c r="J67" s="23">
        <v>5</v>
      </c>
      <c r="K67" s="23">
        <v>10</v>
      </c>
      <c r="L67" s="23">
        <v>11</v>
      </c>
      <c r="M67" s="23">
        <v>17</v>
      </c>
      <c r="N67" s="23">
        <v>9</v>
      </c>
      <c r="O67" s="23">
        <v>30</v>
      </c>
      <c r="P67" s="28">
        <v>6</v>
      </c>
    </row>
    <row r="68" spans="1:16" x14ac:dyDescent="0.25">
      <c r="A68" s="27">
        <v>44623</v>
      </c>
      <c r="B68" s="23">
        <v>107</v>
      </c>
      <c r="C68" s="23">
        <v>87</v>
      </c>
      <c r="D68" s="23">
        <v>83</v>
      </c>
      <c r="E68" s="23">
        <v>2</v>
      </c>
      <c r="F68" s="23">
        <v>19</v>
      </c>
      <c r="G68" s="23">
        <v>1</v>
      </c>
      <c r="H68" s="23">
        <v>4</v>
      </c>
      <c r="I68" s="23">
        <v>13</v>
      </c>
      <c r="J68" s="23">
        <v>7</v>
      </c>
      <c r="K68" s="23">
        <v>7</v>
      </c>
      <c r="L68" s="23">
        <v>11</v>
      </c>
      <c r="M68" s="23">
        <v>11</v>
      </c>
      <c r="N68" s="23">
        <v>7</v>
      </c>
      <c r="O68" s="23">
        <v>17</v>
      </c>
      <c r="P68" s="28">
        <v>6</v>
      </c>
    </row>
    <row r="69" spans="1:16" x14ac:dyDescent="0.25">
      <c r="A69" s="27">
        <v>44624</v>
      </c>
      <c r="B69" s="23">
        <v>112</v>
      </c>
      <c r="C69" s="23">
        <v>89</v>
      </c>
      <c r="D69" s="23">
        <v>86</v>
      </c>
      <c r="E69" s="23">
        <v>3</v>
      </c>
      <c r="F69" s="23">
        <v>18</v>
      </c>
      <c r="G69" s="23">
        <v>5</v>
      </c>
      <c r="H69" s="23">
        <v>5</v>
      </c>
      <c r="I69" s="23">
        <v>10</v>
      </c>
      <c r="J69" s="23">
        <v>7</v>
      </c>
      <c r="K69" s="23">
        <v>9</v>
      </c>
      <c r="L69" s="23">
        <v>11</v>
      </c>
      <c r="M69" s="23">
        <v>13</v>
      </c>
      <c r="N69" s="23">
        <v>8</v>
      </c>
      <c r="O69" s="23">
        <v>13</v>
      </c>
      <c r="P69" s="28">
        <v>10</v>
      </c>
    </row>
    <row r="70" spans="1:16" x14ac:dyDescent="0.25">
      <c r="A70" s="27">
        <v>44625</v>
      </c>
      <c r="B70" s="23">
        <v>101</v>
      </c>
      <c r="C70" s="23">
        <v>86</v>
      </c>
      <c r="D70" s="23">
        <v>81</v>
      </c>
      <c r="E70" s="23">
        <v>5</v>
      </c>
      <c r="F70" s="23">
        <v>11</v>
      </c>
      <c r="G70" s="23">
        <v>4</v>
      </c>
      <c r="H70" s="23">
        <v>7</v>
      </c>
      <c r="I70" s="23">
        <v>6</v>
      </c>
      <c r="J70" s="23">
        <v>7</v>
      </c>
      <c r="K70" s="23">
        <v>7</v>
      </c>
      <c r="L70" s="23">
        <v>14</v>
      </c>
      <c r="M70" s="23">
        <v>8</v>
      </c>
      <c r="N70" s="23">
        <v>4</v>
      </c>
      <c r="O70" s="23">
        <v>20</v>
      </c>
      <c r="P70" s="28">
        <v>8</v>
      </c>
    </row>
    <row r="71" spans="1:16" x14ac:dyDescent="0.25">
      <c r="A71" s="27">
        <v>44626</v>
      </c>
      <c r="B71" s="23">
        <v>95</v>
      </c>
      <c r="C71" s="23">
        <v>74</v>
      </c>
      <c r="D71" s="23">
        <v>64</v>
      </c>
      <c r="E71" s="23">
        <v>10</v>
      </c>
      <c r="F71" s="23">
        <v>18</v>
      </c>
      <c r="G71" s="23">
        <v>3</v>
      </c>
      <c r="H71" s="23">
        <v>2</v>
      </c>
      <c r="I71" s="23">
        <v>6</v>
      </c>
      <c r="J71" s="23">
        <v>4</v>
      </c>
      <c r="K71" s="23">
        <v>10</v>
      </c>
      <c r="L71" s="23">
        <v>8</v>
      </c>
      <c r="M71" s="23">
        <v>6</v>
      </c>
      <c r="N71" s="23">
        <v>8</v>
      </c>
      <c r="O71" s="23">
        <v>12</v>
      </c>
      <c r="P71" s="28">
        <v>8</v>
      </c>
    </row>
    <row r="72" spans="1:16" x14ac:dyDescent="0.25">
      <c r="A72" s="27">
        <v>44627</v>
      </c>
      <c r="B72" s="23">
        <v>124</v>
      </c>
      <c r="C72" s="23">
        <v>99</v>
      </c>
      <c r="D72" s="23">
        <v>91</v>
      </c>
      <c r="E72" s="23">
        <v>7</v>
      </c>
      <c r="F72" s="23">
        <v>19</v>
      </c>
      <c r="G72" s="23">
        <v>6</v>
      </c>
      <c r="H72" s="23">
        <v>3</v>
      </c>
      <c r="I72" s="23">
        <v>21</v>
      </c>
      <c r="J72" s="23">
        <v>10</v>
      </c>
      <c r="K72" s="23">
        <v>11</v>
      </c>
      <c r="L72" s="23">
        <v>8</v>
      </c>
      <c r="M72" s="23">
        <v>7</v>
      </c>
      <c r="N72" s="23">
        <v>8</v>
      </c>
      <c r="O72" s="23">
        <v>14</v>
      </c>
      <c r="P72" s="28">
        <v>9</v>
      </c>
    </row>
    <row r="73" spans="1:16" x14ac:dyDescent="0.25">
      <c r="A73" s="27">
        <v>44628</v>
      </c>
      <c r="B73" s="23">
        <v>119</v>
      </c>
      <c r="C73" s="23">
        <v>102</v>
      </c>
      <c r="D73" s="23">
        <v>100</v>
      </c>
      <c r="E73" s="23">
        <v>2</v>
      </c>
      <c r="F73" s="23">
        <v>15</v>
      </c>
      <c r="G73" s="23">
        <v>2</v>
      </c>
      <c r="H73" s="23">
        <v>4</v>
      </c>
      <c r="I73" s="23">
        <v>9</v>
      </c>
      <c r="J73" s="23">
        <v>10</v>
      </c>
      <c r="K73" s="23">
        <v>7</v>
      </c>
      <c r="L73" s="23">
        <v>10</v>
      </c>
      <c r="M73" s="23">
        <v>10</v>
      </c>
      <c r="N73" s="23">
        <v>11</v>
      </c>
      <c r="O73" s="23">
        <v>24</v>
      </c>
      <c r="P73" s="28">
        <v>15</v>
      </c>
    </row>
    <row r="74" spans="1:16" x14ac:dyDescent="0.25">
      <c r="A74" s="27">
        <v>44629</v>
      </c>
      <c r="B74" s="23">
        <v>107</v>
      </c>
      <c r="C74" s="23">
        <v>92</v>
      </c>
      <c r="D74" s="23">
        <v>88</v>
      </c>
      <c r="E74" s="23">
        <v>3</v>
      </c>
      <c r="F74" s="23">
        <v>14</v>
      </c>
      <c r="G74" s="23">
        <v>1</v>
      </c>
      <c r="H74" s="23">
        <v>3</v>
      </c>
      <c r="I74" s="23">
        <v>12</v>
      </c>
      <c r="J74" s="23">
        <v>11</v>
      </c>
      <c r="K74" s="23">
        <v>9</v>
      </c>
      <c r="L74" s="23">
        <v>14</v>
      </c>
      <c r="M74" s="23">
        <v>12</v>
      </c>
      <c r="N74" s="23">
        <v>7</v>
      </c>
      <c r="O74" s="23">
        <v>14</v>
      </c>
      <c r="P74" s="28">
        <v>6</v>
      </c>
    </row>
    <row r="75" spans="1:16" x14ac:dyDescent="0.25">
      <c r="A75" s="27">
        <v>44630</v>
      </c>
      <c r="B75" s="23">
        <v>115</v>
      </c>
      <c r="C75" s="23">
        <v>93</v>
      </c>
      <c r="D75" s="23">
        <v>91</v>
      </c>
      <c r="E75" s="23">
        <v>1</v>
      </c>
      <c r="F75" s="23">
        <v>19</v>
      </c>
      <c r="G75" s="23">
        <v>3</v>
      </c>
      <c r="H75" s="23">
        <v>3</v>
      </c>
      <c r="I75" s="23">
        <v>9</v>
      </c>
      <c r="J75" s="23">
        <v>10</v>
      </c>
      <c r="K75" s="23">
        <v>6</v>
      </c>
      <c r="L75" s="23">
        <v>13</v>
      </c>
      <c r="M75" s="23">
        <v>15</v>
      </c>
      <c r="N75" s="23">
        <v>6</v>
      </c>
      <c r="O75" s="23">
        <v>14</v>
      </c>
      <c r="P75" s="28">
        <v>15</v>
      </c>
    </row>
    <row r="76" spans="1:16" x14ac:dyDescent="0.25">
      <c r="A76" s="27">
        <v>44631</v>
      </c>
      <c r="B76" s="23">
        <v>121</v>
      </c>
      <c r="C76" s="23">
        <v>101</v>
      </c>
      <c r="D76" s="23">
        <v>97</v>
      </c>
      <c r="E76" s="23">
        <v>3</v>
      </c>
      <c r="F76" s="23">
        <v>13</v>
      </c>
      <c r="G76" s="23">
        <v>7</v>
      </c>
      <c r="H76" s="23">
        <v>1</v>
      </c>
      <c r="I76" s="23">
        <v>9</v>
      </c>
      <c r="J76" s="23">
        <v>5</v>
      </c>
      <c r="K76" s="23">
        <v>15</v>
      </c>
      <c r="L76" s="23">
        <v>13</v>
      </c>
      <c r="M76" s="23">
        <v>13</v>
      </c>
      <c r="N76" s="23">
        <v>11</v>
      </c>
      <c r="O76" s="23">
        <v>16</v>
      </c>
      <c r="P76" s="28">
        <v>14</v>
      </c>
    </row>
    <row r="77" spans="1:16" x14ac:dyDescent="0.25">
      <c r="A77" s="27">
        <v>44632</v>
      </c>
      <c r="B77" s="23">
        <v>123</v>
      </c>
      <c r="C77" s="23">
        <v>104</v>
      </c>
      <c r="D77" s="23">
        <v>101</v>
      </c>
      <c r="E77" s="23">
        <v>3</v>
      </c>
      <c r="F77" s="23">
        <v>17</v>
      </c>
      <c r="G77" s="23">
        <v>2</v>
      </c>
      <c r="H77" s="23">
        <v>2</v>
      </c>
      <c r="I77" s="23">
        <v>6</v>
      </c>
      <c r="J77" s="23">
        <v>16</v>
      </c>
      <c r="K77" s="23">
        <v>7</v>
      </c>
      <c r="L77" s="23">
        <v>15</v>
      </c>
      <c r="M77" s="23">
        <v>10</v>
      </c>
      <c r="N77" s="23">
        <v>16</v>
      </c>
      <c r="O77" s="23">
        <v>14</v>
      </c>
      <c r="P77" s="28">
        <v>15</v>
      </c>
    </row>
    <row r="78" spans="1:16" x14ac:dyDescent="0.25">
      <c r="A78" s="27">
        <v>44633</v>
      </c>
      <c r="B78" s="23">
        <v>112</v>
      </c>
      <c r="C78" s="23">
        <v>90</v>
      </c>
      <c r="D78" s="23">
        <v>81</v>
      </c>
      <c r="E78" s="23">
        <v>9</v>
      </c>
      <c r="F78" s="23">
        <v>21</v>
      </c>
      <c r="G78" s="23">
        <v>1</v>
      </c>
      <c r="H78" s="23">
        <v>4</v>
      </c>
      <c r="I78" s="23">
        <v>8</v>
      </c>
      <c r="J78" s="23">
        <v>10</v>
      </c>
      <c r="K78" s="23">
        <v>8</v>
      </c>
      <c r="L78" s="23">
        <v>8</v>
      </c>
      <c r="M78" s="23">
        <v>11</v>
      </c>
      <c r="N78" s="23">
        <v>8</v>
      </c>
      <c r="O78" s="23">
        <v>16</v>
      </c>
      <c r="P78" s="28">
        <v>8</v>
      </c>
    </row>
    <row r="79" spans="1:16" x14ac:dyDescent="0.25">
      <c r="A79" s="27">
        <v>44634</v>
      </c>
      <c r="B79" s="23">
        <v>141</v>
      </c>
      <c r="C79" s="23">
        <v>118</v>
      </c>
      <c r="D79" s="23">
        <v>115</v>
      </c>
      <c r="E79" s="23">
        <v>3</v>
      </c>
      <c r="F79" s="23">
        <v>18</v>
      </c>
      <c r="G79" s="23">
        <v>5</v>
      </c>
      <c r="H79" s="23">
        <v>3</v>
      </c>
      <c r="I79" s="23">
        <v>14</v>
      </c>
      <c r="J79" s="23">
        <v>8</v>
      </c>
      <c r="K79" s="23">
        <v>16</v>
      </c>
      <c r="L79" s="23">
        <v>6</v>
      </c>
      <c r="M79" s="23">
        <v>13</v>
      </c>
      <c r="N79" s="23">
        <v>10</v>
      </c>
      <c r="O79" s="23">
        <v>28</v>
      </c>
      <c r="P79" s="28">
        <v>17</v>
      </c>
    </row>
    <row r="80" spans="1:16" x14ac:dyDescent="0.25">
      <c r="A80" s="27">
        <v>44635</v>
      </c>
      <c r="B80" s="23">
        <v>122</v>
      </c>
      <c r="C80" s="23">
        <v>104</v>
      </c>
      <c r="D80" s="23">
        <v>100</v>
      </c>
      <c r="E80" s="23">
        <v>4</v>
      </c>
      <c r="F80" s="23">
        <v>15</v>
      </c>
      <c r="G80" s="23">
        <v>3</v>
      </c>
      <c r="H80" s="23">
        <v>0</v>
      </c>
      <c r="I80" s="23">
        <v>10</v>
      </c>
      <c r="J80" s="23">
        <v>7</v>
      </c>
      <c r="K80" s="23">
        <v>10</v>
      </c>
      <c r="L80" s="23">
        <v>13</v>
      </c>
      <c r="M80" s="23">
        <v>14</v>
      </c>
      <c r="N80" s="23">
        <v>8</v>
      </c>
      <c r="O80" s="23">
        <v>22</v>
      </c>
      <c r="P80" s="28">
        <v>16</v>
      </c>
    </row>
    <row r="81" spans="1:16" x14ac:dyDescent="0.25">
      <c r="A81" s="27">
        <v>44636</v>
      </c>
      <c r="B81" s="23">
        <v>146</v>
      </c>
      <c r="C81" s="23">
        <v>116</v>
      </c>
      <c r="D81" s="23">
        <v>107</v>
      </c>
      <c r="E81" s="23">
        <v>9</v>
      </c>
      <c r="F81" s="23">
        <v>24</v>
      </c>
      <c r="G81" s="23">
        <v>6</v>
      </c>
      <c r="H81" s="23">
        <v>6</v>
      </c>
      <c r="I81" s="23">
        <v>19</v>
      </c>
      <c r="J81" s="23">
        <v>12</v>
      </c>
      <c r="K81" s="23">
        <v>3</v>
      </c>
      <c r="L81" s="23">
        <v>10</v>
      </c>
      <c r="M81" s="23">
        <v>14</v>
      </c>
      <c r="N81" s="23">
        <v>14</v>
      </c>
      <c r="O81" s="23">
        <v>18</v>
      </c>
      <c r="P81" s="28">
        <v>11</v>
      </c>
    </row>
    <row r="82" spans="1:16" x14ac:dyDescent="0.25">
      <c r="A82" s="27">
        <v>44637</v>
      </c>
      <c r="B82" s="23">
        <v>137</v>
      </c>
      <c r="C82" s="23">
        <v>111</v>
      </c>
      <c r="D82" s="23">
        <v>105</v>
      </c>
      <c r="E82" s="23">
        <v>5</v>
      </c>
      <c r="F82" s="23">
        <v>25</v>
      </c>
      <c r="G82" s="23">
        <v>1</v>
      </c>
      <c r="H82" s="23">
        <v>2</v>
      </c>
      <c r="I82" s="23">
        <v>11</v>
      </c>
      <c r="J82" s="23">
        <v>10</v>
      </c>
      <c r="K82" s="23">
        <v>9</v>
      </c>
      <c r="L82" s="23">
        <v>11</v>
      </c>
      <c r="M82" s="23">
        <v>11</v>
      </c>
      <c r="N82" s="23">
        <v>11</v>
      </c>
      <c r="O82" s="23">
        <v>20</v>
      </c>
      <c r="P82" s="28">
        <v>20</v>
      </c>
    </row>
    <row r="83" spans="1:16" x14ac:dyDescent="0.25">
      <c r="A83" s="27">
        <v>44638</v>
      </c>
      <c r="B83" s="23">
        <v>170</v>
      </c>
      <c r="C83" s="23">
        <v>130</v>
      </c>
      <c r="D83" s="23">
        <v>121</v>
      </c>
      <c r="E83" s="23">
        <v>9</v>
      </c>
      <c r="F83" s="23">
        <v>30</v>
      </c>
      <c r="G83" s="23">
        <v>10</v>
      </c>
      <c r="H83" s="23">
        <v>5</v>
      </c>
      <c r="I83" s="23">
        <v>13</v>
      </c>
      <c r="J83" s="23">
        <v>17</v>
      </c>
      <c r="K83" s="23">
        <v>12</v>
      </c>
      <c r="L83" s="23">
        <v>12</v>
      </c>
      <c r="M83" s="23">
        <v>14</v>
      </c>
      <c r="N83" s="23">
        <v>12</v>
      </c>
      <c r="O83" s="23">
        <v>20</v>
      </c>
      <c r="P83" s="28">
        <v>16</v>
      </c>
    </row>
    <row r="84" spans="1:16" x14ac:dyDescent="0.25">
      <c r="A84" s="27">
        <v>44639</v>
      </c>
      <c r="B84" s="23">
        <v>166</v>
      </c>
      <c r="C84" s="23">
        <v>129</v>
      </c>
      <c r="D84" s="23">
        <v>121</v>
      </c>
      <c r="E84" s="23">
        <v>7</v>
      </c>
      <c r="F84" s="23">
        <v>32</v>
      </c>
      <c r="G84" s="23">
        <v>5</v>
      </c>
      <c r="H84" s="23">
        <v>3</v>
      </c>
      <c r="I84" s="23">
        <v>20</v>
      </c>
      <c r="J84" s="23">
        <v>15</v>
      </c>
      <c r="K84" s="23">
        <v>12</v>
      </c>
      <c r="L84" s="23">
        <v>11</v>
      </c>
      <c r="M84" s="23">
        <v>15</v>
      </c>
      <c r="N84" s="23">
        <v>13</v>
      </c>
      <c r="O84" s="23">
        <v>15</v>
      </c>
      <c r="P84" s="28">
        <v>17</v>
      </c>
    </row>
    <row r="85" spans="1:16" x14ac:dyDescent="0.25">
      <c r="A85" s="27">
        <v>44640</v>
      </c>
      <c r="B85" s="23">
        <v>175</v>
      </c>
      <c r="C85" s="23">
        <v>136</v>
      </c>
      <c r="D85" s="23">
        <v>128</v>
      </c>
      <c r="E85" s="23">
        <v>8</v>
      </c>
      <c r="F85" s="23">
        <v>34</v>
      </c>
      <c r="G85" s="23">
        <v>5</v>
      </c>
      <c r="H85" s="23">
        <v>3</v>
      </c>
      <c r="I85" s="23">
        <v>12</v>
      </c>
      <c r="J85" s="23">
        <v>23</v>
      </c>
      <c r="K85" s="23">
        <v>9</v>
      </c>
      <c r="L85" s="23">
        <v>15</v>
      </c>
      <c r="M85" s="23">
        <v>10</v>
      </c>
      <c r="N85" s="23">
        <v>12</v>
      </c>
      <c r="O85" s="23">
        <v>29</v>
      </c>
      <c r="P85" s="28">
        <v>15</v>
      </c>
    </row>
    <row r="86" spans="1:16" x14ac:dyDescent="0.25">
      <c r="A86" s="27">
        <v>44641</v>
      </c>
      <c r="B86" s="23">
        <v>163</v>
      </c>
      <c r="C86" s="23">
        <v>133</v>
      </c>
      <c r="D86" s="23">
        <v>122</v>
      </c>
      <c r="E86" s="23">
        <v>11</v>
      </c>
      <c r="F86" s="23">
        <v>27</v>
      </c>
      <c r="G86" s="23">
        <v>3</v>
      </c>
      <c r="H86" s="23">
        <v>6</v>
      </c>
      <c r="I86" s="23">
        <v>22</v>
      </c>
      <c r="J86" s="23">
        <v>10</v>
      </c>
      <c r="K86" s="23">
        <v>14</v>
      </c>
      <c r="L86" s="23">
        <v>16</v>
      </c>
      <c r="M86" s="23">
        <v>14</v>
      </c>
      <c r="N86" s="23">
        <v>8</v>
      </c>
      <c r="O86" s="23">
        <v>15</v>
      </c>
      <c r="P86" s="28">
        <v>17</v>
      </c>
    </row>
    <row r="87" spans="1:16" x14ac:dyDescent="0.25">
      <c r="A87" s="27">
        <v>44642</v>
      </c>
      <c r="B87" s="23">
        <v>167</v>
      </c>
      <c r="C87" s="23">
        <v>132</v>
      </c>
      <c r="D87" s="23">
        <v>123</v>
      </c>
      <c r="E87" s="23">
        <v>9</v>
      </c>
      <c r="F87" s="23">
        <v>28</v>
      </c>
      <c r="G87" s="23">
        <v>7</v>
      </c>
      <c r="H87" s="23">
        <v>6</v>
      </c>
      <c r="I87" s="23">
        <v>19</v>
      </c>
      <c r="J87" s="23">
        <v>14</v>
      </c>
      <c r="K87" s="23">
        <v>7</v>
      </c>
      <c r="L87" s="23">
        <v>8</v>
      </c>
      <c r="M87" s="23">
        <v>17</v>
      </c>
      <c r="N87" s="23">
        <v>11</v>
      </c>
      <c r="O87" s="23">
        <v>27</v>
      </c>
      <c r="P87" s="28">
        <v>14</v>
      </c>
    </row>
    <row r="88" spans="1:16" x14ac:dyDescent="0.25">
      <c r="A88" s="27">
        <v>44643</v>
      </c>
      <c r="B88" s="23">
        <v>158</v>
      </c>
      <c r="C88" s="23">
        <v>130</v>
      </c>
      <c r="D88" s="23">
        <v>122</v>
      </c>
      <c r="E88" s="23">
        <v>8</v>
      </c>
      <c r="F88" s="23">
        <v>24</v>
      </c>
      <c r="G88" s="23">
        <v>4</v>
      </c>
      <c r="H88" s="23">
        <v>4</v>
      </c>
      <c r="I88" s="23">
        <v>14</v>
      </c>
      <c r="J88" s="23">
        <v>11</v>
      </c>
      <c r="K88" s="23">
        <v>13</v>
      </c>
      <c r="L88" s="23">
        <v>8</v>
      </c>
      <c r="M88" s="23">
        <v>13</v>
      </c>
      <c r="N88" s="23">
        <v>7</v>
      </c>
      <c r="O88" s="23">
        <v>28</v>
      </c>
      <c r="P88" s="28">
        <v>24</v>
      </c>
    </row>
    <row r="89" spans="1:16" x14ac:dyDescent="0.25">
      <c r="A89" s="27">
        <v>44644</v>
      </c>
      <c r="B89" s="23">
        <v>166</v>
      </c>
      <c r="C89" s="23">
        <v>132</v>
      </c>
      <c r="D89" s="23">
        <v>119</v>
      </c>
      <c r="E89" s="23">
        <v>13</v>
      </c>
      <c r="F89" s="23">
        <v>33</v>
      </c>
      <c r="G89" s="23">
        <v>1</v>
      </c>
      <c r="H89" s="23">
        <v>6</v>
      </c>
      <c r="I89" s="23">
        <v>13</v>
      </c>
      <c r="J89" s="23">
        <v>11</v>
      </c>
      <c r="K89" s="23">
        <v>14</v>
      </c>
      <c r="L89" s="23">
        <v>13</v>
      </c>
      <c r="M89" s="23">
        <v>16</v>
      </c>
      <c r="N89" s="23">
        <v>8</v>
      </c>
      <c r="O89" s="23">
        <v>23</v>
      </c>
      <c r="P89" s="28">
        <v>15</v>
      </c>
    </row>
    <row r="90" spans="1:16" x14ac:dyDescent="0.25">
      <c r="A90" s="27">
        <v>44645</v>
      </c>
      <c r="B90" s="23">
        <v>182</v>
      </c>
      <c r="C90" s="23">
        <v>151</v>
      </c>
      <c r="D90" s="23">
        <v>138</v>
      </c>
      <c r="E90" s="23">
        <v>13</v>
      </c>
      <c r="F90" s="23">
        <v>23</v>
      </c>
      <c r="G90" s="23">
        <v>8</v>
      </c>
      <c r="H90" s="23">
        <v>4</v>
      </c>
      <c r="I90" s="23">
        <v>24</v>
      </c>
      <c r="J90" s="23">
        <v>11</v>
      </c>
      <c r="K90" s="23">
        <v>11</v>
      </c>
      <c r="L90" s="23">
        <v>22</v>
      </c>
      <c r="M90" s="23">
        <v>19</v>
      </c>
      <c r="N90" s="23">
        <v>12</v>
      </c>
      <c r="O90" s="23">
        <v>19</v>
      </c>
      <c r="P90" s="28">
        <v>16</v>
      </c>
    </row>
    <row r="91" spans="1:16" x14ac:dyDescent="0.25">
      <c r="A91" s="27">
        <v>44646</v>
      </c>
      <c r="B91" s="23">
        <v>164</v>
      </c>
      <c r="C91" s="23">
        <v>139</v>
      </c>
      <c r="D91" s="23">
        <v>129</v>
      </c>
      <c r="E91" s="23">
        <v>8</v>
      </c>
      <c r="F91" s="23">
        <v>22</v>
      </c>
      <c r="G91" s="23">
        <v>3</v>
      </c>
      <c r="H91" s="23">
        <v>3</v>
      </c>
      <c r="I91" s="23">
        <v>14</v>
      </c>
      <c r="J91" s="23">
        <v>15</v>
      </c>
      <c r="K91" s="23">
        <v>9</v>
      </c>
      <c r="L91" s="23">
        <v>16</v>
      </c>
      <c r="M91" s="23">
        <v>21</v>
      </c>
      <c r="N91" s="23">
        <v>9</v>
      </c>
      <c r="O91" s="23">
        <v>22</v>
      </c>
      <c r="P91" s="28">
        <v>20</v>
      </c>
    </row>
    <row r="92" spans="1:16" x14ac:dyDescent="0.25">
      <c r="A92" s="27">
        <v>44647</v>
      </c>
      <c r="B92" s="23">
        <v>160</v>
      </c>
      <c r="C92" s="23">
        <v>134</v>
      </c>
      <c r="D92" s="23">
        <v>127</v>
      </c>
      <c r="E92" s="23">
        <v>7</v>
      </c>
      <c r="F92" s="23">
        <v>20</v>
      </c>
      <c r="G92" s="23">
        <v>6</v>
      </c>
      <c r="H92" s="23">
        <v>7</v>
      </c>
      <c r="I92" s="23">
        <v>14</v>
      </c>
      <c r="J92" s="23">
        <v>12</v>
      </c>
      <c r="K92" s="23">
        <v>16</v>
      </c>
      <c r="L92" s="23">
        <v>10</v>
      </c>
      <c r="M92" s="23">
        <v>15</v>
      </c>
      <c r="N92" s="23">
        <v>6</v>
      </c>
      <c r="O92" s="23">
        <v>23</v>
      </c>
      <c r="P92" s="28">
        <v>24</v>
      </c>
    </row>
    <row r="93" spans="1:16" x14ac:dyDescent="0.25">
      <c r="A93" s="27">
        <v>44648</v>
      </c>
      <c r="B93" s="23">
        <v>178</v>
      </c>
      <c r="C93" s="23">
        <v>145</v>
      </c>
      <c r="D93" s="23">
        <v>136</v>
      </c>
      <c r="E93" s="23">
        <v>8</v>
      </c>
      <c r="F93" s="23">
        <v>28</v>
      </c>
      <c r="G93" s="23">
        <v>5</v>
      </c>
      <c r="H93" s="23">
        <v>6</v>
      </c>
      <c r="I93" s="23">
        <v>23</v>
      </c>
      <c r="J93" s="23">
        <v>15</v>
      </c>
      <c r="K93" s="23">
        <v>13</v>
      </c>
      <c r="L93" s="23">
        <v>13</v>
      </c>
      <c r="M93" s="23">
        <v>19</v>
      </c>
      <c r="N93" s="23">
        <v>11</v>
      </c>
      <c r="O93" s="23">
        <v>20</v>
      </c>
      <c r="P93" s="28">
        <v>16</v>
      </c>
    </row>
    <row r="94" spans="1:16" x14ac:dyDescent="0.25">
      <c r="A94" s="27">
        <v>44649</v>
      </c>
      <c r="B94" s="23">
        <v>196</v>
      </c>
      <c r="C94" s="23">
        <v>162</v>
      </c>
      <c r="D94" s="23">
        <v>155</v>
      </c>
      <c r="E94" s="23">
        <v>7</v>
      </c>
      <c r="F94" s="23">
        <v>30</v>
      </c>
      <c r="G94" s="23">
        <v>4</v>
      </c>
      <c r="H94" s="23">
        <v>6</v>
      </c>
      <c r="I94" s="23">
        <v>27</v>
      </c>
      <c r="J94" s="23">
        <v>26</v>
      </c>
      <c r="K94" s="23">
        <v>11</v>
      </c>
      <c r="L94" s="23">
        <v>14</v>
      </c>
      <c r="M94" s="23">
        <v>18</v>
      </c>
      <c r="N94" s="23">
        <v>11</v>
      </c>
      <c r="O94" s="23">
        <v>19</v>
      </c>
      <c r="P94" s="28">
        <v>23</v>
      </c>
    </row>
    <row r="95" spans="1:16" x14ac:dyDescent="0.25">
      <c r="A95" s="27">
        <v>44650</v>
      </c>
      <c r="B95" s="23">
        <v>181</v>
      </c>
      <c r="C95" s="23">
        <v>159</v>
      </c>
      <c r="D95" s="23">
        <v>149</v>
      </c>
      <c r="E95" s="23">
        <v>10</v>
      </c>
      <c r="F95" s="23">
        <v>21</v>
      </c>
      <c r="G95" s="23">
        <v>1</v>
      </c>
      <c r="H95" s="23">
        <v>7</v>
      </c>
      <c r="I95" s="23">
        <v>17</v>
      </c>
      <c r="J95" s="23">
        <v>18</v>
      </c>
      <c r="K95" s="23">
        <v>10</v>
      </c>
      <c r="L95" s="23">
        <v>12</v>
      </c>
      <c r="M95" s="23">
        <v>18</v>
      </c>
      <c r="N95" s="23">
        <v>12</v>
      </c>
      <c r="O95" s="23">
        <v>32</v>
      </c>
      <c r="P95" s="28">
        <v>23</v>
      </c>
    </row>
    <row r="96" spans="1:16" x14ac:dyDescent="0.25">
      <c r="A96" s="27">
        <v>44651</v>
      </c>
      <c r="B96" s="23">
        <v>192</v>
      </c>
      <c r="C96" s="23">
        <v>159</v>
      </c>
      <c r="D96" s="23">
        <v>153</v>
      </c>
      <c r="E96" s="23">
        <v>6</v>
      </c>
      <c r="F96" s="23">
        <v>24</v>
      </c>
      <c r="G96" s="23">
        <v>9</v>
      </c>
      <c r="H96" s="23">
        <v>7</v>
      </c>
      <c r="I96" s="23">
        <v>17</v>
      </c>
      <c r="J96" s="23">
        <v>16</v>
      </c>
      <c r="K96" s="23">
        <v>12</v>
      </c>
      <c r="L96" s="23">
        <v>15</v>
      </c>
      <c r="M96" s="23">
        <v>20</v>
      </c>
      <c r="N96" s="23">
        <v>14</v>
      </c>
      <c r="O96" s="23">
        <v>24</v>
      </c>
      <c r="P96" s="28">
        <v>28</v>
      </c>
    </row>
    <row r="97" spans="1:16" x14ac:dyDescent="0.25">
      <c r="A97" s="27">
        <v>44652</v>
      </c>
      <c r="B97" s="23">
        <v>204</v>
      </c>
      <c r="C97" s="23">
        <v>171</v>
      </c>
      <c r="D97" s="23">
        <v>162</v>
      </c>
      <c r="E97" s="23">
        <v>9</v>
      </c>
      <c r="F97" s="23">
        <v>26</v>
      </c>
      <c r="G97" s="23">
        <v>7</v>
      </c>
      <c r="H97" s="23">
        <v>6</v>
      </c>
      <c r="I97" s="23">
        <v>21</v>
      </c>
      <c r="J97" s="23">
        <v>15</v>
      </c>
      <c r="K97" s="23">
        <v>17</v>
      </c>
      <c r="L97" s="23">
        <v>19</v>
      </c>
      <c r="M97" s="23">
        <v>24</v>
      </c>
      <c r="N97" s="23">
        <v>14</v>
      </c>
      <c r="O97" s="23">
        <v>26</v>
      </c>
      <c r="P97" s="28">
        <v>20</v>
      </c>
    </row>
    <row r="98" spans="1:16" x14ac:dyDescent="0.25">
      <c r="A98" s="27">
        <v>44653</v>
      </c>
      <c r="B98" s="23">
        <v>192</v>
      </c>
      <c r="C98" s="23">
        <v>175</v>
      </c>
      <c r="D98" s="23">
        <v>170</v>
      </c>
      <c r="E98" s="23">
        <v>5</v>
      </c>
      <c r="F98" s="23">
        <v>15</v>
      </c>
      <c r="G98" s="23">
        <v>2</v>
      </c>
      <c r="H98" s="23">
        <v>8</v>
      </c>
      <c r="I98" s="23">
        <v>21</v>
      </c>
      <c r="J98" s="23">
        <v>28</v>
      </c>
      <c r="K98" s="23">
        <v>13</v>
      </c>
      <c r="L98" s="23">
        <v>15</v>
      </c>
      <c r="M98" s="23">
        <v>23</v>
      </c>
      <c r="N98" s="23">
        <v>13</v>
      </c>
      <c r="O98" s="23">
        <v>22</v>
      </c>
      <c r="P98" s="28">
        <v>27</v>
      </c>
    </row>
    <row r="99" spans="1:16" x14ac:dyDescent="0.25">
      <c r="A99" s="27">
        <v>44654</v>
      </c>
      <c r="B99" s="23">
        <v>189</v>
      </c>
      <c r="C99" s="23">
        <v>165</v>
      </c>
      <c r="D99" s="23">
        <v>154</v>
      </c>
      <c r="E99" s="23">
        <v>10</v>
      </c>
      <c r="F99" s="23">
        <v>19</v>
      </c>
      <c r="G99" s="23">
        <v>5</v>
      </c>
      <c r="H99" s="23">
        <v>10</v>
      </c>
      <c r="I99" s="23">
        <v>21</v>
      </c>
      <c r="J99" s="23">
        <v>13</v>
      </c>
      <c r="K99" s="23">
        <v>12</v>
      </c>
      <c r="L99" s="23">
        <v>13</v>
      </c>
      <c r="M99" s="23">
        <v>18</v>
      </c>
      <c r="N99" s="23">
        <v>18</v>
      </c>
      <c r="O99" s="23">
        <v>22</v>
      </c>
      <c r="P99" s="28">
        <v>27</v>
      </c>
    </row>
    <row r="100" spans="1:16" x14ac:dyDescent="0.25">
      <c r="A100" s="27">
        <v>44655</v>
      </c>
      <c r="B100" s="23">
        <v>179</v>
      </c>
      <c r="C100" s="23">
        <v>151</v>
      </c>
      <c r="D100" s="23">
        <v>143</v>
      </c>
      <c r="E100" s="23">
        <v>8</v>
      </c>
      <c r="F100" s="23">
        <v>23</v>
      </c>
      <c r="G100" s="23">
        <v>5</v>
      </c>
      <c r="H100" s="23">
        <v>6</v>
      </c>
      <c r="I100" s="23">
        <v>20</v>
      </c>
      <c r="J100" s="23">
        <v>16</v>
      </c>
      <c r="K100" s="23">
        <v>15</v>
      </c>
      <c r="L100" s="23">
        <v>16</v>
      </c>
      <c r="M100" s="23">
        <v>21</v>
      </c>
      <c r="N100" s="23">
        <v>7</v>
      </c>
      <c r="O100" s="23">
        <v>12</v>
      </c>
      <c r="P100" s="28">
        <v>30</v>
      </c>
    </row>
    <row r="101" spans="1:16" x14ac:dyDescent="0.25">
      <c r="A101" s="27">
        <v>44656</v>
      </c>
      <c r="B101" s="23">
        <v>202</v>
      </c>
      <c r="C101" s="23">
        <v>171</v>
      </c>
      <c r="D101" s="23">
        <v>160</v>
      </c>
      <c r="E101" s="23">
        <v>11</v>
      </c>
      <c r="F101" s="23">
        <v>28</v>
      </c>
      <c r="G101" s="23">
        <v>3</v>
      </c>
      <c r="H101" s="23">
        <v>13</v>
      </c>
      <c r="I101" s="23">
        <v>20</v>
      </c>
      <c r="J101" s="23">
        <v>12</v>
      </c>
      <c r="K101" s="23">
        <v>18</v>
      </c>
      <c r="L101" s="23">
        <v>12</v>
      </c>
      <c r="M101" s="23">
        <v>17</v>
      </c>
      <c r="N101" s="23">
        <v>11</v>
      </c>
      <c r="O101" s="23">
        <v>33</v>
      </c>
      <c r="P101" s="28">
        <v>24</v>
      </c>
    </row>
    <row r="102" spans="1:16" x14ac:dyDescent="0.25">
      <c r="A102" s="27">
        <v>44657</v>
      </c>
      <c r="B102" s="23">
        <v>195</v>
      </c>
      <c r="C102" s="23">
        <v>173</v>
      </c>
      <c r="D102" s="23">
        <v>163</v>
      </c>
      <c r="E102" s="23">
        <v>10</v>
      </c>
      <c r="F102" s="23">
        <v>18</v>
      </c>
      <c r="G102" s="23">
        <v>4</v>
      </c>
      <c r="H102" s="23">
        <v>6</v>
      </c>
      <c r="I102" s="23">
        <v>20</v>
      </c>
      <c r="J102" s="23">
        <v>23</v>
      </c>
      <c r="K102" s="23">
        <v>16</v>
      </c>
      <c r="L102" s="23">
        <v>19</v>
      </c>
      <c r="M102" s="23">
        <v>10</v>
      </c>
      <c r="N102" s="23">
        <v>18</v>
      </c>
      <c r="O102" s="23">
        <v>32</v>
      </c>
      <c r="P102" s="28">
        <v>19</v>
      </c>
    </row>
    <row r="103" spans="1:16" x14ac:dyDescent="0.25">
      <c r="A103" s="27">
        <v>44658</v>
      </c>
      <c r="B103" s="23">
        <v>231</v>
      </c>
      <c r="C103" s="23">
        <v>202</v>
      </c>
      <c r="D103" s="23">
        <v>188</v>
      </c>
      <c r="E103" s="23">
        <v>14</v>
      </c>
      <c r="F103" s="23">
        <v>23</v>
      </c>
      <c r="G103" s="23">
        <v>6</v>
      </c>
      <c r="H103" s="23">
        <v>5</v>
      </c>
      <c r="I103" s="23">
        <v>23</v>
      </c>
      <c r="J103" s="23">
        <v>13</v>
      </c>
      <c r="K103" s="23">
        <v>20</v>
      </c>
      <c r="L103" s="23">
        <v>20</v>
      </c>
      <c r="M103" s="23">
        <v>30</v>
      </c>
      <c r="N103" s="23">
        <v>18</v>
      </c>
      <c r="O103" s="23">
        <v>34</v>
      </c>
      <c r="P103" s="28">
        <v>25</v>
      </c>
    </row>
    <row r="104" spans="1:16" x14ac:dyDescent="0.25">
      <c r="A104" s="27">
        <v>44659</v>
      </c>
      <c r="B104" s="23">
        <v>238</v>
      </c>
      <c r="C104" s="23">
        <v>208</v>
      </c>
      <c r="D104" s="23">
        <v>196</v>
      </c>
      <c r="E104" s="23">
        <v>12</v>
      </c>
      <c r="F104" s="23">
        <v>26</v>
      </c>
      <c r="G104" s="23">
        <v>4</v>
      </c>
      <c r="H104" s="23">
        <v>12</v>
      </c>
      <c r="I104" s="23">
        <v>27</v>
      </c>
      <c r="J104" s="23">
        <v>24</v>
      </c>
      <c r="K104" s="23">
        <v>15</v>
      </c>
      <c r="L104" s="23">
        <v>16</v>
      </c>
      <c r="M104" s="23">
        <v>18</v>
      </c>
      <c r="N104" s="23">
        <v>9</v>
      </c>
      <c r="O104" s="23">
        <v>42</v>
      </c>
      <c r="P104" s="28">
        <v>33</v>
      </c>
    </row>
    <row r="105" spans="1:16" x14ac:dyDescent="0.25">
      <c r="A105" s="27">
        <v>44660</v>
      </c>
      <c r="B105" s="23">
        <v>173</v>
      </c>
      <c r="C105" s="23">
        <v>155</v>
      </c>
      <c r="D105" s="23">
        <v>148</v>
      </c>
      <c r="E105" s="23">
        <v>7</v>
      </c>
      <c r="F105" s="23">
        <v>12</v>
      </c>
      <c r="G105" s="23">
        <v>6</v>
      </c>
      <c r="H105" s="23">
        <v>7</v>
      </c>
      <c r="I105" s="23">
        <v>16</v>
      </c>
      <c r="J105" s="23">
        <v>23</v>
      </c>
      <c r="K105" s="23">
        <v>11</v>
      </c>
      <c r="L105" s="23">
        <v>13</v>
      </c>
      <c r="M105" s="23">
        <v>23</v>
      </c>
      <c r="N105" s="23">
        <v>11</v>
      </c>
      <c r="O105" s="23">
        <v>27</v>
      </c>
      <c r="P105" s="28">
        <v>17</v>
      </c>
    </row>
    <row r="106" spans="1:16" x14ac:dyDescent="0.25">
      <c r="A106" s="27">
        <v>44661</v>
      </c>
      <c r="B106" s="23">
        <v>197</v>
      </c>
      <c r="C106" s="23">
        <v>172</v>
      </c>
      <c r="D106" s="23">
        <v>160</v>
      </c>
      <c r="E106" s="23">
        <v>12</v>
      </c>
      <c r="F106" s="23">
        <v>21</v>
      </c>
      <c r="G106" s="23">
        <v>4</v>
      </c>
      <c r="H106" s="23">
        <v>8</v>
      </c>
      <c r="I106" s="23">
        <v>17</v>
      </c>
      <c r="J106" s="23">
        <v>24</v>
      </c>
      <c r="K106" s="23">
        <v>14</v>
      </c>
      <c r="L106" s="23">
        <v>15</v>
      </c>
      <c r="M106" s="23">
        <v>17</v>
      </c>
      <c r="N106" s="23">
        <v>11</v>
      </c>
      <c r="O106" s="23">
        <v>29</v>
      </c>
      <c r="P106" s="28">
        <v>25</v>
      </c>
    </row>
    <row r="107" spans="1:16" x14ac:dyDescent="0.25">
      <c r="A107" s="27">
        <v>44662</v>
      </c>
      <c r="B107" s="23">
        <v>185</v>
      </c>
      <c r="C107" s="23">
        <v>168</v>
      </c>
      <c r="D107" s="23">
        <v>159</v>
      </c>
      <c r="E107" s="23">
        <v>9</v>
      </c>
      <c r="F107" s="23">
        <v>15</v>
      </c>
      <c r="G107" s="23">
        <v>2</v>
      </c>
      <c r="H107" s="23">
        <v>10</v>
      </c>
      <c r="I107" s="23">
        <v>13</v>
      </c>
      <c r="J107" s="23">
        <v>20</v>
      </c>
      <c r="K107" s="23">
        <v>19</v>
      </c>
      <c r="L107" s="23">
        <v>22</v>
      </c>
      <c r="M107" s="23">
        <v>13</v>
      </c>
      <c r="N107" s="23">
        <v>16</v>
      </c>
      <c r="O107" s="23">
        <v>21</v>
      </c>
      <c r="P107" s="28">
        <v>25</v>
      </c>
    </row>
    <row r="108" spans="1:16" x14ac:dyDescent="0.25">
      <c r="A108" s="27">
        <v>44663</v>
      </c>
      <c r="B108" s="23">
        <v>200</v>
      </c>
      <c r="C108" s="23">
        <v>174</v>
      </c>
      <c r="D108" s="23">
        <v>161</v>
      </c>
      <c r="E108" s="23">
        <v>12</v>
      </c>
      <c r="F108" s="23">
        <v>23</v>
      </c>
      <c r="G108" s="23">
        <v>3</v>
      </c>
      <c r="H108" s="23">
        <v>7</v>
      </c>
      <c r="I108" s="23">
        <v>20</v>
      </c>
      <c r="J108" s="23">
        <v>7</v>
      </c>
      <c r="K108" s="23">
        <v>15</v>
      </c>
      <c r="L108" s="23">
        <v>27</v>
      </c>
      <c r="M108" s="23">
        <v>27</v>
      </c>
      <c r="N108" s="23">
        <v>13</v>
      </c>
      <c r="O108" s="23">
        <v>27</v>
      </c>
      <c r="P108" s="28">
        <v>18</v>
      </c>
    </row>
    <row r="109" spans="1:16" x14ac:dyDescent="0.25">
      <c r="A109" s="27">
        <v>44664</v>
      </c>
      <c r="B109" s="23">
        <v>222</v>
      </c>
      <c r="C109" s="23">
        <v>196</v>
      </c>
      <c r="D109" s="23">
        <v>184</v>
      </c>
      <c r="E109" s="23">
        <v>12</v>
      </c>
      <c r="F109" s="23">
        <v>23</v>
      </c>
      <c r="G109" s="23">
        <v>3</v>
      </c>
      <c r="H109" s="23">
        <v>8</v>
      </c>
      <c r="I109" s="23">
        <v>27</v>
      </c>
      <c r="J109" s="23">
        <v>18</v>
      </c>
      <c r="K109" s="23">
        <v>17</v>
      </c>
      <c r="L109" s="23">
        <v>29</v>
      </c>
      <c r="M109" s="23">
        <v>14</v>
      </c>
      <c r="N109" s="23">
        <v>16</v>
      </c>
      <c r="O109" s="23">
        <v>32</v>
      </c>
      <c r="P109" s="28">
        <v>23</v>
      </c>
    </row>
    <row r="110" spans="1:16" x14ac:dyDescent="0.25">
      <c r="A110" s="27">
        <v>44665</v>
      </c>
      <c r="B110" s="23">
        <v>192</v>
      </c>
      <c r="C110" s="23">
        <v>167</v>
      </c>
      <c r="D110" s="23">
        <v>161</v>
      </c>
      <c r="E110" s="23">
        <v>6</v>
      </c>
      <c r="F110" s="23">
        <v>23</v>
      </c>
      <c r="G110" s="23">
        <v>2</v>
      </c>
      <c r="H110" s="23">
        <v>10</v>
      </c>
      <c r="I110" s="23">
        <v>23</v>
      </c>
      <c r="J110" s="23">
        <v>21</v>
      </c>
      <c r="K110" s="23">
        <v>17</v>
      </c>
      <c r="L110" s="23">
        <v>16</v>
      </c>
      <c r="M110" s="23">
        <v>16</v>
      </c>
      <c r="N110" s="23">
        <v>15</v>
      </c>
      <c r="O110" s="23">
        <v>27</v>
      </c>
      <c r="P110" s="28">
        <v>16</v>
      </c>
    </row>
    <row r="111" spans="1:16" x14ac:dyDescent="0.25">
      <c r="A111" s="27">
        <v>44666</v>
      </c>
      <c r="B111" s="23">
        <v>172</v>
      </c>
      <c r="C111" s="23">
        <v>152</v>
      </c>
      <c r="D111" s="23">
        <v>145</v>
      </c>
      <c r="E111" s="23">
        <v>7</v>
      </c>
      <c r="F111" s="23">
        <v>16</v>
      </c>
      <c r="G111" s="23">
        <v>4</v>
      </c>
      <c r="H111" s="23">
        <v>9</v>
      </c>
      <c r="I111" s="23">
        <v>17</v>
      </c>
      <c r="J111" s="23">
        <v>20</v>
      </c>
      <c r="K111" s="23">
        <v>14</v>
      </c>
      <c r="L111" s="23">
        <v>16</v>
      </c>
      <c r="M111" s="23">
        <v>10</v>
      </c>
      <c r="N111" s="23">
        <v>8</v>
      </c>
      <c r="O111" s="23">
        <v>25</v>
      </c>
      <c r="P111" s="28">
        <v>26</v>
      </c>
    </row>
    <row r="112" spans="1:16" x14ac:dyDescent="0.25">
      <c r="A112" s="27">
        <v>44667</v>
      </c>
      <c r="B112" s="23">
        <v>165</v>
      </c>
      <c r="C112" s="23">
        <v>149</v>
      </c>
      <c r="D112" s="23">
        <v>140</v>
      </c>
      <c r="E112" s="23">
        <v>8</v>
      </c>
      <c r="F112" s="23">
        <v>13</v>
      </c>
      <c r="G112" s="23">
        <v>3</v>
      </c>
      <c r="H112" s="23">
        <v>9</v>
      </c>
      <c r="I112" s="23">
        <v>25</v>
      </c>
      <c r="J112" s="23">
        <v>20</v>
      </c>
      <c r="K112" s="23">
        <v>12</v>
      </c>
      <c r="L112" s="23">
        <v>16</v>
      </c>
      <c r="M112" s="23">
        <v>14</v>
      </c>
      <c r="N112" s="23">
        <v>12</v>
      </c>
      <c r="O112" s="23">
        <v>20</v>
      </c>
      <c r="P112" s="28">
        <v>12</v>
      </c>
    </row>
    <row r="113" spans="1:16" x14ac:dyDescent="0.25">
      <c r="A113" s="27">
        <v>44668</v>
      </c>
      <c r="B113" s="23">
        <v>162</v>
      </c>
      <c r="C113" s="23">
        <v>144</v>
      </c>
      <c r="D113" s="23">
        <v>135</v>
      </c>
      <c r="E113" s="23">
        <v>9</v>
      </c>
      <c r="F113" s="23">
        <v>11</v>
      </c>
      <c r="G113" s="23">
        <v>7</v>
      </c>
      <c r="H113" s="23">
        <v>7</v>
      </c>
      <c r="I113" s="23">
        <v>15</v>
      </c>
      <c r="J113" s="23">
        <v>20</v>
      </c>
      <c r="K113" s="23">
        <v>11</v>
      </c>
      <c r="L113" s="23">
        <v>18</v>
      </c>
      <c r="M113" s="23">
        <v>15</v>
      </c>
      <c r="N113" s="23">
        <v>13</v>
      </c>
      <c r="O113" s="23">
        <v>16</v>
      </c>
      <c r="P113" s="28">
        <v>20</v>
      </c>
    </row>
    <row r="114" spans="1:16" x14ac:dyDescent="0.25">
      <c r="A114" s="27">
        <v>44669</v>
      </c>
      <c r="B114" s="23">
        <v>174</v>
      </c>
      <c r="C114" s="23">
        <v>157</v>
      </c>
      <c r="D114" s="23">
        <v>146</v>
      </c>
      <c r="E114" s="23">
        <v>11</v>
      </c>
      <c r="F114" s="23">
        <v>13</v>
      </c>
      <c r="G114" s="23">
        <v>4</v>
      </c>
      <c r="H114" s="23">
        <v>8</v>
      </c>
      <c r="I114" s="23">
        <v>18</v>
      </c>
      <c r="J114" s="23">
        <v>17</v>
      </c>
      <c r="K114" s="23">
        <v>11</v>
      </c>
      <c r="L114" s="23">
        <v>15</v>
      </c>
      <c r="M114" s="23">
        <v>14</v>
      </c>
      <c r="N114" s="23">
        <v>12</v>
      </c>
      <c r="O114" s="23">
        <v>21</v>
      </c>
      <c r="P114" s="28">
        <v>30</v>
      </c>
    </row>
    <row r="115" spans="1:16" x14ac:dyDescent="0.25">
      <c r="A115" s="27">
        <v>44670</v>
      </c>
      <c r="B115" s="23">
        <v>158</v>
      </c>
      <c r="C115" s="23">
        <v>142</v>
      </c>
      <c r="D115" s="23">
        <v>128</v>
      </c>
      <c r="E115" s="23">
        <v>14</v>
      </c>
      <c r="F115" s="23">
        <v>15</v>
      </c>
      <c r="G115" s="23">
        <v>1</v>
      </c>
      <c r="H115" s="23">
        <v>3</v>
      </c>
      <c r="I115" s="23">
        <v>22</v>
      </c>
      <c r="J115" s="23">
        <v>15</v>
      </c>
      <c r="K115" s="23">
        <v>15</v>
      </c>
      <c r="L115" s="23">
        <v>11</v>
      </c>
      <c r="M115" s="23">
        <v>15</v>
      </c>
      <c r="N115" s="23">
        <v>13</v>
      </c>
      <c r="O115" s="23">
        <v>19</v>
      </c>
      <c r="P115" s="28">
        <v>15</v>
      </c>
    </row>
    <row r="116" spans="1:16" x14ac:dyDescent="0.25">
      <c r="A116" s="27">
        <v>44671</v>
      </c>
      <c r="B116" s="23">
        <v>162</v>
      </c>
      <c r="C116" s="23">
        <v>143</v>
      </c>
      <c r="D116" s="23">
        <v>137</v>
      </c>
      <c r="E116" s="23">
        <v>5</v>
      </c>
      <c r="F116" s="23">
        <v>14</v>
      </c>
      <c r="G116" s="23">
        <v>5</v>
      </c>
      <c r="H116" s="23">
        <v>6</v>
      </c>
      <c r="I116" s="23">
        <v>22</v>
      </c>
      <c r="J116" s="23">
        <v>11</v>
      </c>
      <c r="K116" s="23">
        <v>11</v>
      </c>
      <c r="L116" s="23">
        <v>15</v>
      </c>
      <c r="M116" s="23">
        <v>18</v>
      </c>
      <c r="N116" s="23">
        <v>10</v>
      </c>
      <c r="O116" s="23">
        <v>27</v>
      </c>
      <c r="P116" s="28">
        <v>17</v>
      </c>
    </row>
    <row r="117" spans="1:16" x14ac:dyDescent="0.25">
      <c r="A117" s="27">
        <v>44672</v>
      </c>
      <c r="B117" s="23">
        <v>163</v>
      </c>
      <c r="C117" s="23">
        <v>144</v>
      </c>
      <c r="D117" s="23">
        <v>134</v>
      </c>
      <c r="E117" s="23">
        <v>9</v>
      </c>
      <c r="F117" s="23">
        <v>14</v>
      </c>
      <c r="G117" s="23">
        <v>5</v>
      </c>
      <c r="H117" s="23">
        <v>8</v>
      </c>
      <c r="I117" s="23">
        <v>12</v>
      </c>
      <c r="J117" s="23">
        <v>15</v>
      </c>
      <c r="K117" s="23">
        <v>11</v>
      </c>
      <c r="L117" s="23">
        <v>16</v>
      </c>
      <c r="M117" s="23">
        <v>12</v>
      </c>
      <c r="N117" s="23">
        <v>13</v>
      </c>
      <c r="O117" s="23">
        <v>26</v>
      </c>
      <c r="P117" s="28">
        <v>21</v>
      </c>
    </row>
    <row r="118" spans="1:16" x14ac:dyDescent="0.25">
      <c r="A118" s="27">
        <v>44673</v>
      </c>
      <c r="B118" s="23">
        <v>155</v>
      </c>
      <c r="C118" s="23">
        <v>136</v>
      </c>
      <c r="D118" s="23">
        <v>127</v>
      </c>
      <c r="E118" s="23">
        <v>9</v>
      </c>
      <c r="F118" s="23">
        <v>14</v>
      </c>
      <c r="G118" s="23">
        <v>5</v>
      </c>
      <c r="H118" s="23">
        <v>5</v>
      </c>
      <c r="I118" s="23">
        <v>17</v>
      </c>
      <c r="J118" s="23">
        <v>10</v>
      </c>
      <c r="K118" s="23">
        <v>11</v>
      </c>
      <c r="L118" s="23">
        <v>16</v>
      </c>
      <c r="M118" s="23">
        <v>22</v>
      </c>
      <c r="N118" s="23">
        <v>9</v>
      </c>
      <c r="O118" s="23">
        <v>25</v>
      </c>
      <c r="P118" s="28">
        <v>12</v>
      </c>
    </row>
    <row r="119" spans="1:16" x14ac:dyDescent="0.25">
      <c r="A119" s="27">
        <v>44674</v>
      </c>
      <c r="B119" s="23">
        <v>146</v>
      </c>
      <c r="C119" s="23">
        <v>131</v>
      </c>
      <c r="D119" s="23">
        <v>124</v>
      </c>
      <c r="E119" s="23">
        <v>7</v>
      </c>
      <c r="F119" s="23">
        <v>15</v>
      </c>
      <c r="G119" s="23">
        <v>0</v>
      </c>
      <c r="H119" s="23">
        <v>5</v>
      </c>
      <c r="I119" s="23">
        <v>15</v>
      </c>
      <c r="J119" s="23">
        <v>10</v>
      </c>
      <c r="K119" s="23">
        <v>13</v>
      </c>
      <c r="L119" s="23">
        <v>10</v>
      </c>
      <c r="M119" s="23">
        <v>15</v>
      </c>
      <c r="N119" s="23">
        <v>11</v>
      </c>
      <c r="O119" s="23">
        <v>25</v>
      </c>
      <c r="P119" s="28">
        <v>20</v>
      </c>
    </row>
    <row r="120" spans="1:16" x14ac:dyDescent="0.25">
      <c r="A120" s="27">
        <v>44675</v>
      </c>
      <c r="B120" s="23">
        <v>131</v>
      </c>
      <c r="C120" s="23">
        <v>115</v>
      </c>
      <c r="D120" s="23">
        <v>106</v>
      </c>
      <c r="E120" s="23">
        <v>9</v>
      </c>
      <c r="F120" s="23">
        <v>10</v>
      </c>
      <c r="G120" s="23">
        <v>6</v>
      </c>
      <c r="H120" s="23">
        <v>1</v>
      </c>
      <c r="I120" s="23">
        <v>15</v>
      </c>
      <c r="J120" s="23">
        <v>14</v>
      </c>
      <c r="K120" s="23">
        <v>11</v>
      </c>
      <c r="L120" s="23">
        <v>21</v>
      </c>
      <c r="M120" s="23">
        <v>12</v>
      </c>
      <c r="N120" s="23">
        <v>6</v>
      </c>
      <c r="O120" s="23">
        <v>18</v>
      </c>
      <c r="P120" s="28">
        <v>8</v>
      </c>
    </row>
    <row r="121" spans="1:16" x14ac:dyDescent="0.25">
      <c r="A121" s="27">
        <v>44676</v>
      </c>
      <c r="B121" s="23">
        <v>129</v>
      </c>
      <c r="C121" s="23">
        <v>118</v>
      </c>
      <c r="D121" s="23">
        <v>106</v>
      </c>
      <c r="E121" s="23">
        <v>12</v>
      </c>
      <c r="F121" s="23">
        <v>11</v>
      </c>
      <c r="G121" s="23">
        <v>0</v>
      </c>
      <c r="H121" s="23">
        <v>6</v>
      </c>
      <c r="I121" s="23">
        <v>12</v>
      </c>
      <c r="J121" s="23">
        <v>15</v>
      </c>
      <c r="K121" s="23">
        <v>8</v>
      </c>
      <c r="L121" s="23">
        <v>11</v>
      </c>
      <c r="M121" s="23">
        <v>16</v>
      </c>
      <c r="N121" s="23">
        <v>12</v>
      </c>
      <c r="O121" s="23">
        <v>18</v>
      </c>
      <c r="P121" s="28">
        <v>8</v>
      </c>
    </row>
    <row r="122" spans="1:16" x14ac:dyDescent="0.25">
      <c r="A122" s="27">
        <v>44677</v>
      </c>
      <c r="B122" s="23">
        <v>126</v>
      </c>
      <c r="C122" s="23">
        <v>104</v>
      </c>
      <c r="D122" s="23">
        <v>95</v>
      </c>
      <c r="E122" s="23">
        <v>8</v>
      </c>
      <c r="F122" s="23">
        <v>17</v>
      </c>
      <c r="G122" s="23">
        <v>5</v>
      </c>
      <c r="H122" s="23">
        <v>8</v>
      </c>
      <c r="I122" s="23">
        <v>15</v>
      </c>
      <c r="J122" s="23">
        <v>11</v>
      </c>
      <c r="K122" s="23">
        <v>6</v>
      </c>
      <c r="L122" s="23">
        <v>15</v>
      </c>
      <c r="M122" s="23">
        <v>4</v>
      </c>
      <c r="N122" s="23">
        <v>5</v>
      </c>
      <c r="O122" s="23">
        <v>19</v>
      </c>
      <c r="P122" s="28">
        <v>12</v>
      </c>
    </row>
    <row r="123" spans="1:16" x14ac:dyDescent="0.25">
      <c r="A123" s="27">
        <v>44678</v>
      </c>
      <c r="B123" s="23">
        <v>135</v>
      </c>
      <c r="C123" s="23">
        <v>124</v>
      </c>
      <c r="D123" s="23">
        <v>117</v>
      </c>
      <c r="E123" s="23">
        <v>7</v>
      </c>
      <c r="F123" s="23">
        <v>8</v>
      </c>
      <c r="G123" s="23">
        <v>3</v>
      </c>
      <c r="H123" s="23">
        <v>8</v>
      </c>
      <c r="I123" s="23">
        <v>19</v>
      </c>
      <c r="J123" s="23">
        <v>9</v>
      </c>
      <c r="K123" s="23">
        <v>8</v>
      </c>
      <c r="L123" s="23">
        <v>15</v>
      </c>
      <c r="M123" s="23">
        <v>17</v>
      </c>
      <c r="N123" s="23">
        <v>10</v>
      </c>
      <c r="O123" s="23">
        <v>12</v>
      </c>
      <c r="P123" s="28">
        <v>19</v>
      </c>
    </row>
    <row r="124" spans="1:16" x14ac:dyDescent="0.25">
      <c r="A124" s="27">
        <v>44679</v>
      </c>
      <c r="B124" s="23">
        <v>130</v>
      </c>
      <c r="C124" s="23">
        <v>117</v>
      </c>
      <c r="D124" s="23">
        <v>110</v>
      </c>
      <c r="E124" s="23">
        <v>7</v>
      </c>
      <c r="F124" s="23">
        <v>11</v>
      </c>
      <c r="G124" s="23">
        <v>2</v>
      </c>
      <c r="H124" s="23">
        <v>9</v>
      </c>
      <c r="I124" s="23">
        <v>17</v>
      </c>
      <c r="J124" s="23">
        <v>11</v>
      </c>
      <c r="K124" s="23">
        <v>9</v>
      </c>
      <c r="L124" s="23">
        <v>14</v>
      </c>
      <c r="M124" s="23">
        <v>14</v>
      </c>
      <c r="N124" s="23">
        <v>8</v>
      </c>
      <c r="O124" s="23">
        <v>14</v>
      </c>
      <c r="P124" s="28">
        <v>14</v>
      </c>
    </row>
    <row r="125" spans="1:16" x14ac:dyDescent="0.25">
      <c r="A125" s="27">
        <v>44680</v>
      </c>
      <c r="B125" s="23">
        <v>108</v>
      </c>
      <c r="C125" s="23">
        <v>87</v>
      </c>
      <c r="D125" s="23">
        <v>81</v>
      </c>
      <c r="E125" s="23">
        <v>6</v>
      </c>
      <c r="F125" s="23">
        <v>17</v>
      </c>
      <c r="G125" s="23">
        <v>4</v>
      </c>
      <c r="H125" s="23">
        <v>4</v>
      </c>
      <c r="I125" s="23">
        <v>12</v>
      </c>
      <c r="J125" s="23">
        <v>8</v>
      </c>
      <c r="K125" s="23">
        <v>5</v>
      </c>
      <c r="L125" s="23">
        <v>16</v>
      </c>
      <c r="M125" s="23">
        <v>10</v>
      </c>
      <c r="N125" s="23">
        <v>3</v>
      </c>
      <c r="O125" s="23">
        <v>15</v>
      </c>
      <c r="P125" s="28">
        <v>8</v>
      </c>
    </row>
    <row r="126" spans="1:16" x14ac:dyDescent="0.25">
      <c r="A126" s="27">
        <v>44681</v>
      </c>
      <c r="B126" s="23">
        <v>107</v>
      </c>
      <c r="C126" s="23">
        <v>95</v>
      </c>
      <c r="D126" s="23">
        <v>91</v>
      </c>
      <c r="E126" s="23">
        <v>4</v>
      </c>
      <c r="F126" s="23">
        <v>11</v>
      </c>
      <c r="G126" s="23">
        <v>1</v>
      </c>
      <c r="H126" s="23">
        <v>2</v>
      </c>
      <c r="I126" s="23">
        <v>13</v>
      </c>
      <c r="J126" s="23">
        <v>13</v>
      </c>
      <c r="K126" s="23">
        <v>7</v>
      </c>
      <c r="L126" s="23">
        <v>16</v>
      </c>
      <c r="M126" s="23">
        <v>12</v>
      </c>
      <c r="N126" s="23">
        <v>5</v>
      </c>
      <c r="O126" s="23">
        <v>14</v>
      </c>
      <c r="P126" s="28">
        <v>9</v>
      </c>
    </row>
    <row r="127" spans="1:16" x14ac:dyDescent="0.25">
      <c r="A127" s="27">
        <v>44682</v>
      </c>
      <c r="B127" s="23">
        <v>114</v>
      </c>
      <c r="C127" s="23">
        <v>106</v>
      </c>
      <c r="D127" s="23">
        <v>101</v>
      </c>
      <c r="E127" s="23">
        <v>4</v>
      </c>
      <c r="F127" s="23">
        <v>8</v>
      </c>
      <c r="G127" s="23">
        <v>0</v>
      </c>
      <c r="H127" s="23">
        <v>5</v>
      </c>
      <c r="I127" s="23">
        <v>23</v>
      </c>
      <c r="J127" s="23">
        <v>17</v>
      </c>
      <c r="K127" s="23">
        <v>7</v>
      </c>
      <c r="L127" s="23">
        <v>8</v>
      </c>
      <c r="M127" s="23">
        <v>14</v>
      </c>
      <c r="N127" s="23">
        <v>13</v>
      </c>
      <c r="O127" s="23">
        <v>7</v>
      </c>
      <c r="P127" s="28">
        <v>7</v>
      </c>
    </row>
    <row r="128" spans="1:16" x14ac:dyDescent="0.25">
      <c r="A128" s="27">
        <v>44683</v>
      </c>
      <c r="B128" s="23">
        <v>109</v>
      </c>
      <c r="C128" s="23">
        <v>96</v>
      </c>
      <c r="D128" s="23">
        <v>91</v>
      </c>
      <c r="E128" s="23">
        <v>5</v>
      </c>
      <c r="F128" s="23">
        <v>12</v>
      </c>
      <c r="G128" s="23">
        <v>1</v>
      </c>
      <c r="H128" s="23">
        <v>4</v>
      </c>
      <c r="I128" s="23">
        <v>15</v>
      </c>
      <c r="J128" s="23">
        <v>13</v>
      </c>
      <c r="K128" s="23">
        <v>14</v>
      </c>
      <c r="L128" s="23">
        <v>9</v>
      </c>
      <c r="M128" s="23">
        <v>13</v>
      </c>
      <c r="N128" s="23">
        <v>6</v>
      </c>
      <c r="O128" s="23">
        <v>12</v>
      </c>
      <c r="P128" s="28">
        <v>5</v>
      </c>
    </row>
    <row r="129" spans="1:16" x14ac:dyDescent="0.25">
      <c r="A129" s="27">
        <v>44684</v>
      </c>
      <c r="B129" s="23">
        <v>107</v>
      </c>
      <c r="C129" s="23">
        <v>89</v>
      </c>
      <c r="D129" s="23">
        <v>84</v>
      </c>
      <c r="E129" s="23">
        <v>5</v>
      </c>
      <c r="F129" s="23">
        <v>18</v>
      </c>
      <c r="G129" s="23">
        <v>0</v>
      </c>
      <c r="H129" s="23">
        <v>7</v>
      </c>
      <c r="I129" s="23">
        <v>15</v>
      </c>
      <c r="J129" s="23">
        <v>3</v>
      </c>
      <c r="K129" s="23">
        <v>7</v>
      </c>
      <c r="L129" s="23">
        <v>4</v>
      </c>
      <c r="M129" s="23">
        <v>12</v>
      </c>
      <c r="N129" s="23">
        <v>12</v>
      </c>
      <c r="O129" s="23">
        <v>13</v>
      </c>
      <c r="P129" s="28">
        <v>11</v>
      </c>
    </row>
    <row r="130" spans="1:16" x14ac:dyDescent="0.25">
      <c r="A130" s="27">
        <v>44685</v>
      </c>
      <c r="B130" s="23">
        <v>90</v>
      </c>
      <c r="C130" s="23">
        <v>81</v>
      </c>
      <c r="D130" s="23">
        <v>79</v>
      </c>
      <c r="E130" s="23">
        <v>2</v>
      </c>
      <c r="F130" s="23">
        <v>8</v>
      </c>
      <c r="G130" s="23">
        <v>1</v>
      </c>
      <c r="H130" s="23">
        <v>2</v>
      </c>
      <c r="I130" s="23">
        <v>7</v>
      </c>
      <c r="J130" s="23">
        <v>11</v>
      </c>
      <c r="K130" s="23">
        <v>7</v>
      </c>
      <c r="L130" s="23">
        <v>13</v>
      </c>
      <c r="M130" s="23">
        <v>14</v>
      </c>
      <c r="N130" s="23">
        <v>7</v>
      </c>
      <c r="O130" s="23">
        <v>8</v>
      </c>
      <c r="P130" s="28">
        <v>10</v>
      </c>
    </row>
    <row r="131" spans="1:16" x14ac:dyDescent="0.25">
      <c r="A131" s="27">
        <v>44686</v>
      </c>
      <c r="B131" s="23">
        <v>87</v>
      </c>
      <c r="C131" s="23">
        <v>78</v>
      </c>
      <c r="D131" s="23">
        <v>72</v>
      </c>
      <c r="E131" s="23">
        <v>6</v>
      </c>
      <c r="F131" s="23">
        <v>7</v>
      </c>
      <c r="G131" s="23">
        <v>2</v>
      </c>
      <c r="H131" s="23">
        <v>6</v>
      </c>
      <c r="I131" s="23">
        <v>10</v>
      </c>
      <c r="J131" s="23">
        <v>7</v>
      </c>
      <c r="K131" s="23">
        <v>8</v>
      </c>
      <c r="L131" s="23">
        <v>9</v>
      </c>
      <c r="M131" s="23">
        <v>9</v>
      </c>
      <c r="N131" s="23">
        <v>5</v>
      </c>
      <c r="O131" s="23">
        <v>11</v>
      </c>
      <c r="P131" s="28">
        <v>7</v>
      </c>
    </row>
    <row r="132" spans="1:16" x14ac:dyDescent="0.25">
      <c r="A132" s="27">
        <v>44687</v>
      </c>
      <c r="B132" s="23">
        <v>98</v>
      </c>
      <c r="C132" s="23">
        <v>91</v>
      </c>
      <c r="D132" s="23">
        <v>90</v>
      </c>
      <c r="E132" s="23">
        <v>1</v>
      </c>
      <c r="F132" s="23">
        <v>7</v>
      </c>
      <c r="G132" s="23">
        <v>0</v>
      </c>
      <c r="H132" s="23">
        <v>5</v>
      </c>
      <c r="I132" s="23">
        <v>21</v>
      </c>
      <c r="J132" s="23">
        <v>8</v>
      </c>
      <c r="K132" s="23">
        <v>7</v>
      </c>
      <c r="L132" s="23">
        <v>12</v>
      </c>
      <c r="M132" s="23">
        <v>10</v>
      </c>
      <c r="N132" s="23">
        <v>6</v>
      </c>
      <c r="O132" s="23">
        <v>15</v>
      </c>
      <c r="P132" s="28">
        <v>6</v>
      </c>
    </row>
    <row r="133" spans="1:16" x14ac:dyDescent="0.25">
      <c r="A133" s="27">
        <v>44688</v>
      </c>
      <c r="B133" s="23">
        <v>103</v>
      </c>
      <c r="C133" s="23">
        <v>91</v>
      </c>
      <c r="D133" s="23">
        <v>83</v>
      </c>
      <c r="E133" s="23">
        <v>8</v>
      </c>
      <c r="F133" s="23">
        <v>9</v>
      </c>
      <c r="G133" s="23">
        <v>3</v>
      </c>
      <c r="H133" s="23">
        <v>5</v>
      </c>
      <c r="I133" s="23">
        <v>7</v>
      </c>
      <c r="J133" s="23">
        <v>8</v>
      </c>
      <c r="K133" s="23">
        <v>11</v>
      </c>
      <c r="L133" s="23">
        <v>7</v>
      </c>
      <c r="M133" s="23">
        <v>18</v>
      </c>
      <c r="N133" s="23">
        <v>8</v>
      </c>
      <c r="O133" s="23">
        <v>16</v>
      </c>
      <c r="P133" s="28">
        <v>3</v>
      </c>
    </row>
    <row r="134" spans="1:16" x14ac:dyDescent="0.25">
      <c r="A134" s="27">
        <v>44689</v>
      </c>
      <c r="B134" s="23">
        <v>85</v>
      </c>
      <c r="C134" s="23">
        <v>77</v>
      </c>
      <c r="D134" s="23">
        <v>74</v>
      </c>
      <c r="E134" s="23">
        <v>3</v>
      </c>
      <c r="F134" s="23">
        <v>7</v>
      </c>
      <c r="G134" s="23">
        <v>1</v>
      </c>
      <c r="H134" s="23">
        <v>6</v>
      </c>
      <c r="I134" s="23">
        <v>11</v>
      </c>
      <c r="J134" s="23">
        <v>5</v>
      </c>
      <c r="K134" s="23">
        <v>4</v>
      </c>
      <c r="L134" s="23">
        <v>9</v>
      </c>
      <c r="M134" s="23">
        <v>11</v>
      </c>
      <c r="N134" s="23">
        <v>5</v>
      </c>
      <c r="O134" s="23">
        <v>18</v>
      </c>
      <c r="P134" s="28">
        <v>5</v>
      </c>
    </row>
    <row r="135" spans="1:16" x14ac:dyDescent="0.25">
      <c r="A135" s="27">
        <v>44690</v>
      </c>
      <c r="B135" s="23">
        <v>83</v>
      </c>
      <c r="C135" s="23">
        <v>76</v>
      </c>
      <c r="D135" s="23">
        <v>73</v>
      </c>
      <c r="E135" s="23">
        <v>3</v>
      </c>
      <c r="F135" s="23">
        <v>5</v>
      </c>
      <c r="G135" s="23">
        <v>2</v>
      </c>
      <c r="H135" s="23">
        <v>6</v>
      </c>
      <c r="I135" s="23">
        <v>10</v>
      </c>
      <c r="J135" s="23">
        <v>8</v>
      </c>
      <c r="K135" s="23">
        <v>13</v>
      </c>
      <c r="L135" s="23">
        <v>5</v>
      </c>
      <c r="M135" s="23">
        <v>7</v>
      </c>
      <c r="N135" s="23">
        <v>5</v>
      </c>
      <c r="O135" s="23">
        <v>15</v>
      </c>
      <c r="P135" s="28">
        <v>4</v>
      </c>
    </row>
    <row r="136" spans="1:16" x14ac:dyDescent="0.25">
      <c r="A136" s="27">
        <v>44691</v>
      </c>
      <c r="B136" s="23">
        <v>101</v>
      </c>
      <c r="C136" s="23">
        <v>91</v>
      </c>
      <c r="D136" s="23">
        <v>87</v>
      </c>
      <c r="E136" s="23">
        <v>4</v>
      </c>
      <c r="F136" s="23">
        <v>7</v>
      </c>
      <c r="G136" s="23">
        <v>3</v>
      </c>
      <c r="H136" s="23">
        <v>3</v>
      </c>
      <c r="I136" s="23">
        <v>11</v>
      </c>
      <c r="J136" s="23">
        <v>7</v>
      </c>
      <c r="K136" s="23">
        <v>8</v>
      </c>
      <c r="L136" s="23">
        <v>14</v>
      </c>
      <c r="M136" s="23">
        <v>13</v>
      </c>
      <c r="N136" s="23">
        <v>9</v>
      </c>
      <c r="O136" s="23">
        <v>12</v>
      </c>
      <c r="P136" s="28">
        <v>10</v>
      </c>
    </row>
    <row r="137" spans="1:16" x14ac:dyDescent="0.25">
      <c r="A137" s="27">
        <v>44692</v>
      </c>
      <c r="B137" s="23">
        <v>80</v>
      </c>
      <c r="C137" s="23">
        <v>63</v>
      </c>
      <c r="D137" s="23">
        <v>58</v>
      </c>
      <c r="E137" s="23">
        <v>4</v>
      </c>
      <c r="F137" s="23">
        <v>15</v>
      </c>
      <c r="G137" s="23">
        <v>2</v>
      </c>
      <c r="H137" s="23">
        <v>5</v>
      </c>
      <c r="I137" s="23">
        <v>6</v>
      </c>
      <c r="J137" s="23">
        <v>7</v>
      </c>
      <c r="K137" s="23">
        <v>6</v>
      </c>
      <c r="L137" s="23">
        <v>9</v>
      </c>
      <c r="M137" s="23">
        <v>10</v>
      </c>
      <c r="N137" s="23">
        <v>2</v>
      </c>
      <c r="O137" s="23">
        <v>10</v>
      </c>
      <c r="P137" s="28">
        <v>3</v>
      </c>
    </row>
    <row r="138" spans="1:16" x14ac:dyDescent="0.25">
      <c r="A138" s="27">
        <v>44693</v>
      </c>
      <c r="B138" s="23">
        <v>70</v>
      </c>
      <c r="C138" s="23">
        <v>59</v>
      </c>
      <c r="D138" s="23">
        <v>55</v>
      </c>
      <c r="E138" s="23">
        <v>3</v>
      </c>
      <c r="F138" s="23">
        <v>9</v>
      </c>
      <c r="G138" s="23">
        <v>2</v>
      </c>
      <c r="H138" s="23">
        <v>4</v>
      </c>
      <c r="I138" s="23">
        <v>6</v>
      </c>
      <c r="J138" s="23">
        <v>4</v>
      </c>
      <c r="K138" s="23">
        <v>6</v>
      </c>
      <c r="L138" s="23">
        <v>9</v>
      </c>
      <c r="M138" s="23">
        <v>10</v>
      </c>
      <c r="N138" s="23">
        <v>5</v>
      </c>
      <c r="O138" s="23">
        <v>6</v>
      </c>
      <c r="P138" s="28">
        <v>5</v>
      </c>
    </row>
    <row r="139" spans="1:16" x14ac:dyDescent="0.25">
      <c r="A139" s="27">
        <v>44694</v>
      </c>
      <c r="B139" s="23">
        <v>72</v>
      </c>
      <c r="C139" s="23">
        <v>69</v>
      </c>
      <c r="D139" s="23">
        <v>66</v>
      </c>
      <c r="E139" s="23">
        <v>3</v>
      </c>
      <c r="F139" s="23">
        <v>1</v>
      </c>
      <c r="G139" s="23">
        <v>2</v>
      </c>
      <c r="H139" s="23">
        <v>4</v>
      </c>
      <c r="I139" s="23">
        <v>6</v>
      </c>
      <c r="J139" s="23">
        <v>8</v>
      </c>
      <c r="K139" s="23">
        <v>2</v>
      </c>
      <c r="L139" s="23">
        <v>3</v>
      </c>
      <c r="M139" s="23">
        <v>13</v>
      </c>
      <c r="N139" s="23">
        <v>6</v>
      </c>
      <c r="O139" s="23">
        <v>15</v>
      </c>
      <c r="P139" s="28">
        <v>9</v>
      </c>
    </row>
    <row r="140" spans="1:16" x14ac:dyDescent="0.25">
      <c r="A140" s="27">
        <v>44695</v>
      </c>
      <c r="B140" s="23">
        <v>66</v>
      </c>
      <c r="C140" s="23">
        <v>58</v>
      </c>
      <c r="D140" s="23">
        <v>54</v>
      </c>
      <c r="E140" s="23">
        <v>4</v>
      </c>
      <c r="F140" s="23">
        <v>5</v>
      </c>
      <c r="G140" s="23">
        <v>3</v>
      </c>
      <c r="H140" s="23">
        <v>1</v>
      </c>
      <c r="I140" s="23">
        <v>9</v>
      </c>
      <c r="J140" s="23">
        <v>7</v>
      </c>
      <c r="K140" s="23">
        <v>9</v>
      </c>
      <c r="L140" s="23">
        <v>6</v>
      </c>
      <c r="M140" s="23">
        <v>8</v>
      </c>
      <c r="N140" s="23">
        <v>6</v>
      </c>
      <c r="O140" s="23">
        <v>6</v>
      </c>
      <c r="P140" s="28">
        <v>2</v>
      </c>
    </row>
    <row r="141" spans="1:16" x14ac:dyDescent="0.25">
      <c r="A141" s="27">
        <v>44696</v>
      </c>
      <c r="B141" s="23">
        <v>73</v>
      </c>
      <c r="C141" s="23">
        <v>66</v>
      </c>
      <c r="D141" s="23">
        <v>61</v>
      </c>
      <c r="E141" s="23">
        <v>5</v>
      </c>
      <c r="F141" s="23">
        <v>5</v>
      </c>
      <c r="G141" s="23">
        <v>2</v>
      </c>
      <c r="H141" s="23">
        <v>5</v>
      </c>
      <c r="I141" s="23">
        <v>13</v>
      </c>
      <c r="J141" s="23">
        <v>9</v>
      </c>
      <c r="K141" s="23">
        <v>5</v>
      </c>
      <c r="L141" s="23">
        <v>12</v>
      </c>
      <c r="M141" s="23">
        <v>5</v>
      </c>
      <c r="N141" s="23">
        <v>4</v>
      </c>
      <c r="O141" s="23">
        <v>5</v>
      </c>
      <c r="P141" s="28">
        <v>3</v>
      </c>
    </row>
    <row r="142" spans="1:16" x14ac:dyDescent="0.25">
      <c r="A142" s="27">
        <v>44697</v>
      </c>
      <c r="B142" s="23">
        <v>66</v>
      </c>
      <c r="C142" s="23">
        <v>54</v>
      </c>
      <c r="D142" s="23">
        <v>52</v>
      </c>
      <c r="E142" s="23">
        <v>2</v>
      </c>
      <c r="F142" s="23">
        <v>10</v>
      </c>
      <c r="G142" s="23">
        <v>2</v>
      </c>
      <c r="H142" s="23">
        <v>2</v>
      </c>
      <c r="I142" s="23">
        <v>7</v>
      </c>
      <c r="J142" s="23">
        <v>9</v>
      </c>
      <c r="K142" s="23">
        <v>6</v>
      </c>
      <c r="L142" s="23">
        <v>6</v>
      </c>
      <c r="M142" s="23">
        <v>4</v>
      </c>
      <c r="N142" s="23">
        <v>2</v>
      </c>
      <c r="O142" s="23">
        <v>8</v>
      </c>
      <c r="P142" s="28">
        <v>8</v>
      </c>
    </row>
    <row r="143" spans="1:16" x14ac:dyDescent="0.25">
      <c r="A143" s="27">
        <v>44698</v>
      </c>
      <c r="B143" s="23">
        <v>72</v>
      </c>
      <c r="C143" s="23">
        <v>61</v>
      </c>
      <c r="D143" s="23">
        <v>55</v>
      </c>
      <c r="E143" s="23">
        <v>6</v>
      </c>
      <c r="F143" s="23">
        <v>9</v>
      </c>
      <c r="G143" s="23">
        <v>2</v>
      </c>
      <c r="H143" s="23">
        <v>4</v>
      </c>
      <c r="I143" s="23">
        <v>3</v>
      </c>
      <c r="J143" s="23">
        <v>2</v>
      </c>
      <c r="K143" s="23">
        <v>7</v>
      </c>
      <c r="L143" s="23">
        <v>8</v>
      </c>
      <c r="M143" s="23">
        <v>15</v>
      </c>
      <c r="N143" s="23">
        <v>3</v>
      </c>
      <c r="O143" s="23">
        <v>10</v>
      </c>
      <c r="P143" s="28">
        <v>3</v>
      </c>
    </row>
    <row r="144" spans="1:16" x14ac:dyDescent="0.25">
      <c r="A144" s="27">
        <v>44699</v>
      </c>
      <c r="B144" s="23">
        <v>46</v>
      </c>
      <c r="C144" s="23">
        <v>42</v>
      </c>
      <c r="D144" s="23">
        <v>38</v>
      </c>
      <c r="E144" s="23">
        <v>4</v>
      </c>
      <c r="F144" s="23">
        <v>3</v>
      </c>
      <c r="G144" s="23">
        <v>1</v>
      </c>
      <c r="H144" s="23">
        <v>1</v>
      </c>
      <c r="I144" s="23">
        <v>6</v>
      </c>
      <c r="J144" s="23">
        <v>3</v>
      </c>
      <c r="K144" s="23">
        <v>9</v>
      </c>
      <c r="L144" s="23">
        <v>3</v>
      </c>
      <c r="M144" s="23">
        <v>8</v>
      </c>
      <c r="N144" s="23">
        <v>2</v>
      </c>
      <c r="O144" s="23">
        <v>5</v>
      </c>
      <c r="P144" s="28">
        <v>1</v>
      </c>
    </row>
    <row r="145" spans="1:16" x14ac:dyDescent="0.25">
      <c r="A145" s="27">
        <v>44700</v>
      </c>
      <c r="B145" s="23">
        <v>46</v>
      </c>
      <c r="C145" s="23">
        <v>34</v>
      </c>
      <c r="D145" s="23">
        <v>27</v>
      </c>
      <c r="E145" s="23">
        <v>7</v>
      </c>
      <c r="F145" s="23">
        <v>9</v>
      </c>
      <c r="G145" s="23">
        <v>3</v>
      </c>
      <c r="H145" s="23">
        <v>4</v>
      </c>
      <c r="I145" s="23">
        <v>2</v>
      </c>
      <c r="J145" s="23">
        <v>6</v>
      </c>
      <c r="K145" s="23">
        <v>2</v>
      </c>
      <c r="L145" s="23">
        <v>4</v>
      </c>
      <c r="M145" s="23">
        <v>3</v>
      </c>
      <c r="N145" s="23">
        <v>2</v>
      </c>
      <c r="O145" s="23">
        <v>2</v>
      </c>
      <c r="P145" s="28">
        <v>2</v>
      </c>
    </row>
    <row r="146" spans="1:16" x14ac:dyDescent="0.25">
      <c r="A146" s="27">
        <v>44701</v>
      </c>
      <c r="B146" s="23">
        <v>72</v>
      </c>
      <c r="C146" s="23">
        <v>57</v>
      </c>
      <c r="D146" s="23">
        <v>55</v>
      </c>
      <c r="E146" s="23">
        <v>2</v>
      </c>
      <c r="F146" s="23">
        <v>11</v>
      </c>
      <c r="G146" s="23">
        <v>4</v>
      </c>
      <c r="H146" s="23">
        <v>5</v>
      </c>
      <c r="I146" s="23">
        <v>10</v>
      </c>
      <c r="J146" s="23">
        <v>7</v>
      </c>
      <c r="K146" s="23">
        <v>6</v>
      </c>
      <c r="L146" s="23">
        <v>9</v>
      </c>
      <c r="M146" s="23">
        <v>7</v>
      </c>
      <c r="N146" s="23">
        <v>3</v>
      </c>
      <c r="O146" s="23">
        <v>7</v>
      </c>
      <c r="P146" s="28">
        <v>1</v>
      </c>
    </row>
    <row r="147" spans="1:16" x14ac:dyDescent="0.25">
      <c r="A147" s="27">
        <v>44702</v>
      </c>
      <c r="B147" s="23">
        <v>49</v>
      </c>
      <c r="C147" s="23">
        <v>42</v>
      </c>
      <c r="D147" s="23">
        <v>36</v>
      </c>
      <c r="E147" s="23">
        <v>6</v>
      </c>
      <c r="F147" s="23">
        <v>5</v>
      </c>
      <c r="G147" s="23">
        <v>2</v>
      </c>
      <c r="H147" s="23">
        <v>4</v>
      </c>
      <c r="I147" s="23">
        <v>2</v>
      </c>
      <c r="J147" s="23">
        <v>4</v>
      </c>
      <c r="K147" s="23">
        <v>2</v>
      </c>
      <c r="L147" s="23">
        <v>5</v>
      </c>
      <c r="M147" s="23">
        <v>3</v>
      </c>
      <c r="N147" s="23">
        <v>5</v>
      </c>
      <c r="O147" s="23">
        <v>6</v>
      </c>
      <c r="P147" s="28">
        <v>5</v>
      </c>
    </row>
    <row r="148" spans="1:16" x14ac:dyDescent="0.25">
      <c r="A148" s="27">
        <v>44703</v>
      </c>
      <c r="B148" s="23">
        <v>59</v>
      </c>
      <c r="C148" s="23">
        <v>50</v>
      </c>
      <c r="D148" s="23">
        <v>44</v>
      </c>
      <c r="E148" s="23">
        <v>6</v>
      </c>
      <c r="F148" s="23">
        <v>7</v>
      </c>
      <c r="G148" s="23">
        <v>2</v>
      </c>
      <c r="H148" s="23">
        <v>1</v>
      </c>
      <c r="I148" s="23">
        <v>1</v>
      </c>
      <c r="J148" s="23">
        <v>5</v>
      </c>
      <c r="K148" s="23">
        <v>9</v>
      </c>
      <c r="L148" s="23">
        <v>4</v>
      </c>
      <c r="M148" s="23">
        <v>6</v>
      </c>
      <c r="N148" s="23">
        <v>7</v>
      </c>
      <c r="O148" s="23">
        <v>6</v>
      </c>
      <c r="P148" s="28">
        <v>5</v>
      </c>
    </row>
    <row r="149" spans="1:16" x14ac:dyDescent="0.25">
      <c r="A149" s="27">
        <v>44704</v>
      </c>
      <c r="B149" s="23">
        <v>63</v>
      </c>
      <c r="C149" s="23">
        <v>57</v>
      </c>
      <c r="D149" s="23">
        <v>52</v>
      </c>
      <c r="E149" s="23">
        <v>5</v>
      </c>
      <c r="F149" s="23">
        <v>6</v>
      </c>
      <c r="G149" s="23">
        <v>0</v>
      </c>
      <c r="H149" s="23">
        <v>2</v>
      </c>
      <c r="I149" s="23">
        <v>13</v>
      </c>
      <c r="J149" s="23">
        <v>6</v>
      </c>
      <c r="K149" s="23">
        <v>8</v>
      </c>
      <c r="L149" s="23">
        <v>3</v>
      </c>
      <c r="M149" s="23">
        <v>7</v>
      </c>
      <c r="N149" s="23">
        <v>4</v>
      </c>
      <c r="O149" s="23">
        <v>5</v>
      </c>
      <c r="P149" s="28">
        <v>4</v>
      </c>
    </row>
    <row r="150" spans="1:16" x14ac:dyDescent="0.25">
      <c r="A150" s="27">
        <v>44705</v>
      </c>
      <c r="B150" s="23">
        <v>51</v>
      </c>
      <c r="C150" s="23">
        <v>42</v>
      </c>
      <c r="D150" s="23">
        <v>39</v>
      </c>
      <c r="E150" s="23">
        <v>3</v>
      </c>
      <c r="F150" s="23">
        <v>9</v>
      </c>
      <c r="G150" s="23">
        <v>0</v>
      </c>
      <c r="H150" s="23">
        <v>2</v>
      </c>
      <c r="I150" s="23">
        <v>5</v>
      </c>
      <c r="J150" s="23">
        <v>5</v>
      </c>
      <c r="K150" s="23">
        <v>6</v>
      </c>
      <c r="L150" s="23">
        <v>5</v>
      </c>
      <c r="M150" s="23">
        <v>2</v>
      </c>
      <c r="N150" s="23">
        <v>5</v>
      </c>
      <c r="O150" s="23">
        <v>7</v>
      </c>
      <c r="P150" s="28">
        <v>2</v>
      </c>
    </row>
    <row r="151" spans="1:16" x14ac:dyDescent="0.25">
      <c r="A151" s="27">
        <v>44706</v>
      </c>
      <c r="B151" s="23">
        <v>34</v>
      </c>
      <c r="C151" s="23">
        <v>29</v>
      </c>
      <c r="D151" s="23">
        <v>26</v>
      </c>
      <c r="E151" s="23">
        <v>3</v>
      </c>
      <c r="F151" s="23">
        <v>4</v>
      </c>
      <c r="G151" s="23">
        <v>1</v>
      </c>
      <c r="H151" s="23">
        <v>0</v>
      </c>
      <c r="I151" s="23">
        <v>3</v>
      </c>
      <c r="J151" s="23">
        <v>3</v>
      </c>
      <c r="K151" s="23">
        <v>2</v>
      </c>
      <c r="L151" s="23">
        <v>4</v>
      </c>
      <c r="M151" s="23">
        <v>1</v>
      </c>
      <c r="N151" s="23">
        <v>5</v>
      </c>
      <c r="O151" s="23">
        <v>4</v>
      </c>
      <c r="P151" s="28">
        <v>4</v>
      </c>
    </row>
    <row r="152" spans="1:16" x14ac:dyDescent="0.25">
      <c r="A152" s="27">
        <v>44707</v>
      </c>
      <c r="B152" s="23">
        <v>45</v>
      </c>
      <c r="C152" s="23">
        <v>41</v>
      </c>
      <c r="D152" s="23">
        <v>40</v>
      </c>
      <c r="E152" s="23">
        <v>1</v>
      </c>
      <c r="F152" s="23">
        <v>3</v>
      </c>
      <c r="G152" s="23">
        <v>1</v>
      </c>
      <c r="H152" s="23">
        <v>2</v>
      </c>
      <c r="I152" s="23">
        <v>6</v>
      </c>
      <c r="J152" s="23">
        <v>3</v>
      </c>
      <c r="K152" s="23">
        <v>5</v>
      </c>
      <c r="L152" s="23">
        <v>6</v>
      </c>
      <c r="M152" s="23">
        <v>2</v>
      </c>
      <c r="N152" s="23">
        <v>7</v>
      </c>
      <c r="O152" s="23">
        <v>5</v>
      </c>
      <c r="P152" s="28">
        <v>4</v>
      </c>
    </row>
    <row r="153" spans="1:16" x14ac:dyDescent="0.25">
      <c r="A153" s="27">
        <v>44708</v>
      </c>
      <c r="B153" s="23">
        <v>45</v>
      </c>
      <c r="C153" s="23">
        <v>39</v>
      </c>
      <c r="D153" s="23">
        <v>39</v>
      </c>
      <c r="E153" s="23">
        <v>0</v>
      </c>
      <c r="F153" s="23">
        <v>4</v>
      </c>
      <c r="G153" s="23">
        <v>2</v>
      </c>
      <c r="H153" s="23">
        <v>2</v>
      </c>
      <c r="I153" s="23">
        <v>6</v>
      </c>
      <c r="J153" s="23">
        <v>4</v>
      </c>
      <c r="K153" s="23">
        <v>3</v>
      </c>
      <c r="L153" s="23">
        <v>3</v>
      </c>
      <c r="M153" s="23">
        <v>5</v>
      </c>
      <c r="N153" s="23">
        <v>10</v>
      </c>
      <c r="O153" s="23">
        <v>5</v>
      </c>
      <c r="P153" s="28">
        <v>1</v>
      </c>
    </row>
    <row r="154" spans="1:16" x14ac:dyDescent="0.25">
      <c r="A154" s="27">
        <v>44709</v>
      </c>
      <c r="B154" s="23">
        <v>34</v>
      </c>
      <c r="C154" s="23">
        <v>31</v>
      </c>
      <c r="D154" s="23">
        <v>30</v>
      </c>
      <c r="E154" s="23">
        <v>1</v>
      </c>
      <c r="F154" s="23">
        <v>2</v>
      </c>
      <c r="G154" s="23">
        <v>1</v>
      </c>
      <c r="H154" s="23">
        <v>2</v>
      </c>
      <c r="I154" s="23">
        <v>3</v>
      </c>
      <c r="J154" s="23">
        <v>3</v>
      </c>
      <c r="K154" s="23">
        <v>3</v>
      </c>
      <c r="L154" s="23">
        <v>2</v>
      </c>
      <c r="M154" s="23">
        <v>7</v>
      </c>
      <c r="N154" s="23">
        <v>2</v>
      </c>
      <c r="O154" s="23">
        <v>2</v>
      </c>
      <c r="P154" s="28">
        <v>6</v>
      </c>
    </row>
    <row r="155" spans="1:16" x14ac:dyDescent="0.25">
      <c r="A155" s="27">
        <v>44710</v>
      </c>
      <c r="B155" s="23">
        <v>30</v>
      </c>
      <c r="C155" s="23">
        <v>26</v>
      </c>
      <c r="D155" s="23">
        <v>24</v>
      </c>
      <c r="E155" s="23">
        <v>2</v>
      </c>
      <c r="F155" s="23">
        <v>3</v>
      </c>
      <c r="G155" s="23">
        <v>1</v>
      </c>
      <c r="H155" s="23">
        <v>1</v>
      </c>
      <c r="I155" s="23">
        <v>5</v>
      </c>
      <c r="J155" s="23">
        <v>3</v>
      </c>
      <c r="K155" s="23">
        <v>1</v>
      </c>
      <c r="L155" s="23">
        <v>3</v>
      </c>
      <c r="M155" s="23">
        <v>3</v>
      </c>
      <c r="N155" s="23">
        <v>2</v>
      </c>
      <c r="O155" s="23">
        <v>4</v>
      </c>
      <c r="P155" s="28">
        <v>2</v>
      </c>
    </row>
    <row r="156" spans="1:16" x14ac:dyDescent="0.25">
      <c r="A156" s="27">
        <v>44711</v>
      </c>
      <c r="B156" s="23">
        <v>51</v>
      </c>
      <c r="C156" s="23">
        <v>45</v>
      </c>
      <c r="D156" s="23">
        <v>42</v>
      </c>
      <c r="E156" s="23">
        <v>3</v>
      </c>
      <c r="F156" s="23">
        <v>5</v>
      </c>
      <c r="G156" s="23">
        <v>1</v>
      </c>
      <c r="H156" s="23">
        <v>5</v>
      </c>
      <c r="I156" s="23">
        <v>5</v>
      </c>
      <c r="J156" s="23">
        <v>3</v>
      </c>
      <c r="K156" s="23">
        <v>1</v>
      </c>
      <c r="L156" s="23">
        <v>9</v>
      </c>
      <c r="M156" s="23">
        <v>5</v>
      </c>
      <c r="N156" s="23">
        <v>5</v>
      </c>
      <c r="O156" s="23">
        <v>5</v>
      </c>
      <c r="P156" s="28">
        <v>4</v>
      </c>
    </row>
    <row r="157" spans="1:16" x14ac:dyDescent="0.25">
      <c r="A157" s="27">
        <v>44712</v>
      </c>
      <c r="B157" s="23">
        <v>50</v>
      </c>
      <c r="C157" s="23">
        <v>44</v>
      </c>
      <c r="D157" s="23">
        <v>42</v>
      </c>
      <c r="E157" s="23">
        <v>2</v>
      </c>
      <c r="F157" s="23">
        <v>5</v>
      </c>
      <c r="G157" s="23">
        <v>1</v>
      </c>
      <c r="H157" s="23">
        <v>1</v>
      </c>
      <c r="I157" s="23">
        <v>10</v>
      </c>
      <c r="J157" s="23">
        <v>3</v>
      </c>
      <c r="K157" s="23">
        <v>3</v>
      </c>
      <c r="L157" s="23">
        <v>5</v>
      </c>
      <c r="M157" s="23">
        <v>6</v>
      </c>
      <c r="N157" s="23">
        <v>3</v>
      </c>
      <c r="O157" s="23">
        <v>7</v>
      </c>
      <c r="P157" s="28">
        <v>4</v>
      </c>
    </row>
    <row r="158" spans="1:16" x14ac:dyDescent="0.25">
      <c r="A158" s="27">
        <v>44713</v>
      </c>
      <c r="B158" s="23">
        <v>26</v>
      </c>
      <c r="C158" s="23">
        <v>26</v>
      </c>
      <c r="D158" s="23">
        <v>23</v>
      </c>
      <c r="E158" s="23">
        <v>2</v>
      </c>
      <c r="F158" s="23">
        <v>0</v>
      </c>
      <c r="G158" s="23">
        <v>0</v>
      </c>
      <c r="H158" s="23">
        <v>1</v>
      </c>
      <c r="I158" s="23">
        <v>4</v>
      </c>
      <c r="J158" s="23">
        <v>5</v>
      </c>
      <c r="K158" s="23">
        <v>1</v>
      </c>
      <c r="L158" s="23">
        <v>1</v>
      </c>
      <c r="M158" s="23">
        <v>4</v>
      </c>
      <c r="N158" s="23">
        <v>2</v>
      </c>
      <c r="O158" s="23">
        <v>2</v>
      </c>
      <c r="P158" s="28">
        <v>3</v>
      </c>
    </row>
    <row r="159" spans="1:16" x14ac:dyDescent="0.25">
      <c r="A159" s="27">
        <v>44714</v>
      </c>
      <c r="B159" s="23">
        <v>47</v>
      </c>
      <c r="C159" s="23">
        <v>38</v>
      </c>
      <c r="D159" s="23">
        <v>37</v>
      </c>
      <c r="E159" s="23">
        <v>1</v>
      </c>
      <c r="F159" s="23">
        <v>8</v>
      </c>
      <c r="G159" s="23">
        <v>1</v>
      </c>
      <c r="H159" s="23">
        <v>1</v>
      </c>
      <c r="I159" s="23">
        <v>4</v>
      </c>
      <c r="J159" s="23">
        <v>3</v>
      </c>
      <c r="K159" s="23">
        <v>3</v>
      </c>
      <c r="L159" s="23">
        <v>7</v>
      </c>
      <c r="M159" s="23">
        <v>6</v>
      </c>
      <c r="N159" s="23">
        <v>5</v>
      </c>
      <c r="O159" s="23">
        <v>4</v>
      </c>
      <c r="P159" s="28">
        <v>4</v>
      </c>
    </row>
    <row r="160" spans="1:16" x14ac:dyDescent="0.25">
      <c r="A160" s="27">
        <v>44715</v>
      </c>
      <c r="B160" s="23">
        <v>28</v>
      </c>
      <c r="C160" s="23">
        <v>24</v>
      </c>
      <c r="D160" s="23">
        <v>22</v>
      </c>
      <c r="E160" s="23">
        <v>2</v>
      </c>
      <c r="F160" s="23">
        <v>3</v>
      </c>
      <c r="G160" s="23">
        <v>1</v>
      </c>
      <c r="H160" s="23">
        <v>3</v>
      </c>
      <c r="I160" s="23">
        <v>2</v>
      </c>
      <c r="J160" s="23">
        <v>3</v>
      </c>
      <c r="K160" s="23">
        <v>1</v>
      </c>
      <c r="L160" s="23">
        <v>0</v>
      </c>
      <c r="M160" s="23">
        <v>4</v>
      </c>
      <c r="N160" s="23">
        <v>2</v>
      </c>
      <c r="O160" s="23">
        <v>3</v>
      </c>
      <c r="P160" s="28">
        <v>4</v>
      </c>
    </row>
    <row r="161" spans="1:16" x14ac:dyDescent="0.25">
      <c r="A161" s="27">
        <v>44716</v>
      </c>
      <c r="B161" s="23">
        <v>39</v>
      </c>
      <c r="C161" s="23">
        <v>34</v>
      </c>
      <c r="D161" s="23">
        <v>33</v>
      </c>
      <c r="E161" s="23">
        <v>0</v>
      </c>
      <c r="F161" s="23">
        <v>5</v>
      </c>
      <c r="G161" s="23">
        <v>0</v>
      </c>
      <c r="H161" s="23">
        <v>3</v>
      </c>
      <c r="I161" s="23">
        <v>4</v>
      </c>
      <c r="J161" s="23">
        <v>2</v>
      </c>
      <c r="K161" s="23">
        <v>1</v>
      </c>
      <c r="L161" s="23">
        <v>5</v>
      </c>
      <c r="M161" s="23">
        <v>6</v>
      </c>
      <c r="N161" s="23">
        <v>5</v>
      </c>
      <c r="O161" s="23">
        <v>7</v>
      </c>
      <c r="P161" s="28">
        <v>0</v>
      </c>
    </row>
    <row r="162" spans="1:16" x14ac:dyDescent="0.25">
      <c r="A162" s="27">
        <v>44717</v>
      </c>
      <c r="B162" s="23">
        <v>30</v>
      </c>
      <c r="C162" s="23">
        <v>25</v>
      </c>
      <c r="D162" s="23">
        <v>23</v>
      </c>
      <c r="E162" s="23">
        <v>2</v>
      </c>
      <c r="F162" s="23">
        <v>4</v>
      </c>
      <c r="G162" s="23">
        <v>1</v>
      </c>
      <c r="H162" s="23">
        <v>2</v>
      </c>
      <c r="I162" s="23">
        <v>1</v>
      </c>
      <c r="J162" s="23">
        <v>1</v>
      </c>
      <c r="K162" s="23">
        <v>3</v>
      </c>
      <c r="L162" s="23">
        <v>5</v>
      </c>
      <c r="M162" s="23">
        <v>4</v>
      </c>
      <c r="N162" s="23">
        <v>1</v>
      </c>
      <c r="O162" s="23">
        <v>3</v>
      </c>
      <c r="P162" s="28">
        <v>3</v>
      </c>
    </row>
    <row r="163" spans="1:16" x14ac:dyDescent="0.25">
      <c r="A163" s="27">
        <v>44718</v>
      </c>
      <c r="B163" s="23">
        <v>43</v>
      </c>
      <c r="C163" s="23">
        <v>40</v>
      </c>
      <c r="D163" s="23">
        <v>38</v>
      </c>
      <c r="E163" s="23">
        <v>2</v>
      </c>
      <c r="F163" s="23">
        <v>2</v>
      </c>
      <c r="G163" s="23">
        <v>1</v>
      </c>
      <c r="H163" s="23">
        <v>0</v>
      </c>
      <c r="I163" s="23">
        <v>1</v>
      </c>
      <c r="J163" s="23">
        <v>5</v>
      </c>
      <c r="K163" s="23">
        <v>5</v>
      </c>
      <c r="L163" s="23">
        <v>5</v>
      </c>
      <c r="M163" s="23">
        <v>7</v>
      </c>
      <c r="N163" s="23">
        <v>3</v>
      </c>
      <c r="O163" s="23">
        <v>7</v>
      </c>
      <c r="P163" s="28">
        <v>5</v>
      </c>
    </row>
    <row r="164" spans="1:16" x14ac:dyDescent="0.25">
      <c r="A164" s="27">
        <v>44719</v>
      </c>
      <c r="B164" s="23">
        <v>33</v>
      </c>
      <c r="C164" s="23">
        <v>29</v>
      </c>
      <c r="D164" s="23">
        <v>27</v>
      </c>
      <c r="E164" s="23">
        <v>2</v>
      </c>
      <c r="F164" s="23">
        <v>4</v>
      </c>
      <c r="G164" s="23">
        <v>0</v>
      </c>
      <c r="H164" s="23">
        <v>5</v>
      </c>
      <c r="I164" s="23">
        <v>5</v>
      </c>
      <c r="J164" s="23">
        <v>1</v>
      </c>
      <c r="K164" s="23">
        <v>3</v>
      </c>
      <c r="L164" s="23">
        <v>1</v>
      </c>
      <c r="M164" s="23">
        <v>2</v>
      </c>
      <c r="N164" s="23">
        <v>5</v>
      </c>
      <c r="O164" s="23">
        <v>3</v>
      </c>
      <c r="P164" s="28">
        <v>2</v>
      </c>
    </row>
    <row r="165" spans="1:16" x14ac:dyDescent="0.25">
      <c r="A165" s="27">
        <v>44720</v>
      </c>
      <c r="B165" s="23">
        <v>42</v>
      </c>
      <c r="C165" s="23">
        <v>33</v>
      </c>
      <c r="D165" s="23">
        <v>31</v>
      </c>
      <c r="E165" s="23">
        <v>2</v>
      </c>
      <c r="F165" s="23">
        <v>9</v>
      </c>
      <c r="G165" s="23">
        <v>0</v>
      </c>
      <c r="H165" s="23">
        <v>2</v>
      </c>
      <c r="I165" s="23">
        <v>6</v>
      </c>
      <c r="J165" s="23">
        <v>3</v>
      </c>
      <c r="K165" s="23">
        <v>2</v>
      </c>
      <c r="L165" s="23">
        <v>2</v>
      </c>
      <c r="M165" s="23">
        <v>4</v>
      </c>
      <c r="N165" s="23">
        <v>4</v>
      </c>
      <c r="O165" s="23">
        <v>4</v>
      </c>
      <c r="P165" s="28">
        <v>4</v>
      </c>
    </row>
    <row r="166" spans="1:16" x14ac:dyDescent="0.25">
      <c r="A166" s="27">
        <v>44721</v>
      </c>
      <c r="B166" s="23">
        <v>27</v>
      </c>
      <c r="C166" s="23">
        <v>20</v>
      </c>
      <c r="D166" s="23">
        <v>18</v>
      </c>
      <c r="E166" s="23">
        <v>2</v>
      </c>
      <c r="F166" s="23">
        <v>5</v>
      </c>
      <c r="G166" s="23">
        <v>2</v>
      </c>
      <c r="H166" s="23">
        <v>2</v>
      </c>
      <c r="I166" s="23">
        <v>1</v>
      </c>
      <c r="J166" s="23">
        <v>0</v>
      </c>
      <c r="K166" s="23">
        <v>2</v>
      </c>
      <c r="L166" s="23">
        <v>1</v>
      </c>
      <c r="M166" s="23">
        <v>4</v>
      </c>
      <c r="N166" s="23">
        <v>3</v>
      </c>
      <c r="O166" s="23">
        <v>4</v>
      </c>
      <c r="P166" s="28">
        <v>1</v>
      </c>
    </row>
    <row r="167" spans="1:16" x14ac:dyDescent="0.25">
      <c r="A167" s="27">
        <v>44722</v>
      </c>
      <c r="B167" s="23">
        <v>44</v>
      </c>
      <c r="C167" s="23">
        <v>33</v>
      </c>
      <c r="D167" s="23">
        <v>31</v>
      </c>
      <c r="E167" s="23">
        <v>1</v>
      </c>
      <c r="F167" s="23">
        <v>10</v>
      </c>
      <c r="G167" s="23">
        <v>1</v>
      </c>
      <c r="H167" s="23">
        <v>2</v>
      </c>
      <c r="I167" s="23">
        <v>5</v>
      </c>
      <c r="J167" s="23">
        <v>3</v>
      </c>
      <c r="K167" s="23">
        <v>3</v>
      </c>
      <c r="L167" s="23">
        <v>0</v>
      </c>
      <c r="M167" s="23">
        <v>3</v>
      </c>
      <c r="N167" s="23">
        <v>4</v>
      </c>
      <c r="O167" s="23">
        <v>7</v>
      </c>
      <c r="P167" s="28">
        <v>4</v>
      </c>
    </row>
    <row r="168" spans="1:16" x14ac:dyDescent="0.25">
      <c r="A168" s="27">
        <v>44723</v>
      </c>
      <c r="B168" s="23">
        <v>33</v>
      </c>
      <c r="C168" s="23">
        <v>28</v>
      </c>
      <c r="D168" s="23">
        <v>27</v>
      </c>
      <c r="E168" s="23">
        <v>0</v>
      </c>
      <c r="F168" s="23">
        <v>4</v>
      </c>
      <c r="G168" s="23">
        <v>1</v>
      </c>
      <c r="H168" s="23">
        <v>3</v>
      </c>
      <c r="I168" s="23">
        <v>5</v>
      </c>
      <c r="J168" s="23">
        <v>1</v>
      </c>
      <c r="K168" s="23">
        <v>0</v>
      </c>
      <c r="L168" s="23">
        <v>3</v>
      </c>
      <c r="M168" s="23">
        <v>8</v>
      </c>
      <c r="N168" s="23">
        <v>0</v>
      </c>
      <c r="O168" s="23">
        <v>4</v>
      </c>
      <c r="P168" s="28">
        <v>3</v>
      </c>
    </row>
    <row r="169" spans="1:16" x14ac:dyDescent="0.25">
      <c r="A169" s="27">
        <v>44724</v>
      </c>
      <c r="B169" s="23">
        <v>43</v>
      </c>
      <c r="C169" s="23">
        <v>36</v>
      </c>
      <c r="D169" s="23">
        <v>34</v>
      </c>
      <c r="E169" s="23">
        <v>2</v>
      </c>
      <c r="F169" s="23">
        <v>7</v>
      </c>
      <c r="G169" s="23">
        <v>0</v>
      </c>
      <c r="H169" s="23">
        <v>2</v>
      </c>
      <c r="I169" s="23">
        <v>7</v>
      </c>
      <c r="J169" s="23">
        <v>4</v>
      </c>
      <c r="K169" s="23">
        <v>4</v>
      </c>
      <c r="L169" s="23">
        <v>4</v>
      </c>
      <c r="M169" s="23">
        <v>5</v>
      </c>
      <c r="N169" s="23">
        <v>2</v>
      </c>
      <c r="O169" s="23">
        <v>3</v>
      </c>
      <c r="P169" s="28">
        <v>3</v>
      </c>
    </row>
    <row r="170" spans="1:16" x14ac:dyDescent="0.25">
      <c r="A170" s="27">
        <v>44725</v>
      </c>
      <c r="B170" s="23">
        <v>41</v>
      </c>
      <c r="C170" s="23">
        <v>32</v>
      </c>
      <c r="D170" s="23">
        <v>28</v>
      </c>
      <c r="E170" s="23">
        <v>4</v>
      </c>
      <c r="F170" s="23">
        <v>8</v>
      </c>
      <c r="G170" s="23">
        <v>1</v>
      </c>
      <c r="H170" s="23">
        <v>3</v>
      </c>
      <c r="I170" s="23">
        <v>5</v>
      </c>
      <c r="J170" s="23">
        <v>5</v>
      </c>
      <c r="K170" s="23">
        <v>3</v>
      </c>
      <c r="L170" s="23">
        <v>3</v>
      </c>
      <c r="M170" s="23">
        <v>4</v>
      </c>
      <c r="N170" s="23">
        <v>1</v>
      </c>
      <c r="O170" s="23">
        <v>2</v>
      </c>
      <c r="P170" s="28">
        <v>2</v>
      </c>
    </row>
    <row r="171" spans="1:16" x14ac:dyDescent="0.25">
      <c r="A171" s="27">
        <v>44726</v>
      </c>
      <c r="B171" s="23">
        <v>36</v>
      </c>
      <c r="C171" s="23">
        <v>28</v>
      </c>
      <c r="D171" s="23">
        <v>27</v>
      </c>
      <c r="E171" s="23">
        <v>1</v>
      </c>
      <c r="F171" s="23">
        <v>6</v>
      </c>
      <c r="G171" s="23">
        <v>2</v>
      </c>
      <c r="H171" s="23">
        <v>1</v>
      </c>
      <c r="I171" s="23">
        <v>4</v>
      </c>
      <c r="J171" s="23">
        <v>1</v>
      </c>
      <c r="K171" s="23">
        <v>4</v>
      </c>
      <c r="L171" s="23">
        <v>0</v>
      </c>
      <c r="M171" s="23">
        <v>4</v>
      </c>
      <c r="N171" s="23">
        <v>8</v>
      </c>
      <c r="O171" s="23">
        <v>5</v>
      </c>
      <c r="P171" s="28">
        <v>0</v>
      </c>
    </row>
    <row r="172" spans="1:16" x14ac:dyDescent="0.25">
      <c r="A172" s="27">
        <v>44727</v>
      </c>
      <c r="B172" s="23">
        <v>45</v>
      </c>
      <c r="C172" s="23">
        <v>39</v>
      </c>
      <c r="D172" s="23">
        <v>39</v>
      </c>
      <c r="E172" s="23">
        <v>0</v>
      </c>
      <c r="F172" s="23">
        <v>6</v>
      </c>
      <c r="G172" s="23">
        <v>0</v>
      </c>
      <c r="H172" s="23">
        <v>2</v>
      </c>
      <c r="I172" s="23">
        <v>2</v>
      </c>
      <c r="J172" s="23">
        <v>5</v>
      </c>
      <c r="K172" s="23">
        <v>3</v>
      </c>
      <c r="L172" s="23">
        <v>5</v>
      </c>
      <c r="M172" s="23">
        <v>1</v>
      </c>
      <c r="N172" s="23">
        <v>6</v>
      </c>
      <c r="O172" s="23">
        <v>8</v>
      </c>
      <c r="P172" s="28">
        <v>7</v>
      </c>
    </row>
    <row r="173" spans="1:16" x14ac:dyDescent="0.25">
      <c r="A173" s="27">
        <v>44728</v>
      </c>
      <c r="B173" s="23">
        <v>57</v>
      </c>
      <c r="C173" s="23">
        <v>48</v>
      </c>
      <c r="D173" s="23">
        <v>41</v>
      </c>
      <c r="E173" s="23">
        <v>7</v>
      </c>
      <c r="F173" s="23">
        <v>9</v>
      </c>
      <c r="G173" s="23">
        <v>0</v>
      </c>
      <c r="H173" s="23">
        <v>2</v>
      </c>
      <c r="I173" s="23">
        <v>8</v>
      </c>
      <c r="J173" s="23">
        <v>4</v>
      </c>
      <c r="K173" s="23">
        <v>2</v>
      </c>
      <c r="L173" s="23">
        <v>5</v>
      </c>
      <c r="M173" s="23">
        <v>6</v>
      </c>
      <c r="N173" s="23">
        <v>5</v>
      </c>
      <c r="O173" s="23">
        <v>6</v>
      </c>
      <c r="P173" s="28">
        <v>3</v>
      </c>
    </row>
    <row r="174" spans="1:16" x14ac:dyDescent="0.25">
      <c r="A174" s="27">
        <v>44729</v>
      </c>
      <c r="B174" s="23">
        <v>45</v>
      </c>
      <c r="C174" s="23">
        <v>38</v>
      </c>
      <c r="D174" s="23">
        <v>36</v>
      </c>
      <c r="E174" s="23">
        <v>2</v>
      </c>
      <c r="F174" s="23">
        <v>5</v>
      </c>
      <c r="G174" s="23">
        <v>2</v>
      </c>
      <c r="H174" s="23">
        <v>1</v>
      </c>
      <c r="I174" s="23">
        <v>2</v>
      </c>
      <c r="J174" s="23">
        <v>4</v>
      </c>
      <c r="K174" s="23">
        <v>5</v>
      </c>
      <c r="L174" s="23">
        <v>1</v>
      </c>
      <c r="M174" s="23">
        <v>4</v>
      </c>
      <c r="N174" s="23">
        <v>4</v>
      </c>
      <c r="O174" s="23">
        <v>11</v>
      </c>
      <c r="P174" s="28">
        <v>4</v>
      </c>
    </row>
    <row r="175" spans="1:16" x14ac:dyDescent="0.25">
      <c r="A175" s="27">
        <v>44730</v>
      </c>
      <c r="B175" s="23">
        <v>44</v>
      </c>
      <c r="C175" s="23">
        <v>37</v>
      </c>
      <c r="D175" s="23">
        <v>35</v>
      </c>
      <c r="E175" s="23">
        <v>2</v>
      </c>
      <c r="F175" s="23">
        <v>5</v>
      </c>
      <c r="G175" s="23">
        <v>2</v>
      </c>
      <c r="H175" s="23">
        <v>3</v>
      </c>
      <c r="I175" s="23">
        <v>5</v>
      </c>
      <c r="J175" s="23">
        <v>1</v>
      </c>
      <c r="K175" s="23">
        <v>5</v>
      </c>
      <c r="L175" s="23">
        <v>1</v>
      </c>
      <c r="M175" s="23">
        <v>8</v>
      </c>
      <c r="N175" s="23">
        <v>6</v>
      </c>
      <c r="O175" s="23">
        <v>4</v>
      </c>
      <c r="P175" s="28">
        <v>2</v>
      </c>
    </row>
    <row r="176" spans="1:16" x14ac:dyDescent="0.25">
      <c r="A176" s="27">
        <v>44731</v>
      </c>
      <c r="B176" s="23">
        <v>47</v>
      </c>
      <c r="C176" s="23">
        <v>37</v>
      </c>
      <c r="D176" s="23">
        <v>36</v>
      </c>
      <c r="E176" s="23">
        <v>1</v>
      </c>
      <c r="F176" s="23">
        <v>10</v>
      </c>
      <c r="G176" s="23">
        <v>0</v>
      </c>
      <c r="H176" s="23">
        <v>0</v>
      </c>
      <c r="I176" s="23">
        <v>6</v>
      </c>
      <c r="J176" s="23">
        <v>2</v>
      </c>
      <c r="K176" s="23">
        <v>6</v>
      </c>
      <c r="L176" s="23">
        <v>6</v>
      </c>
      <c r="M176" s="23">
        <v>4</v>
      </c>
      <c r="N176" s="23">
        <v>3</v>
      </c>
      <c r="O176" s="23">
        <v>5</v>
      </c>
      <c r="P176" s="28">
        <v>4</v>
      </c>
    </row>
    <row r="177" spans="1:16" x14ac:dyDescent="0.25">
      <c r="A177" s="27">
        <v>44732</v>
      </c>
      <c r="B177" s="23">
        <v>48</v>
      </c>
      <c r="C177" s="23">
        <v>43</v>
      </c>
      <c r="D177" s="23">
        <v>41</v>
      </c>
      <c r="E177" s="23">
        <v>2</v>
      </c>
      <c r="F177" s="23">
        <v>4</v>
      </c>
      <c r="G177" s="23">
        <v>1</v>
      </c>
      <c r="H177" s="23">
        <v>1</v>
      </c>
      <c r="I177" s="23">
        <v>4</v>
      </c>
      <c r="J177" s="23">
        <v>7</v>
      </c>
      <c r="K177" s="23">
        <v>3</v>
      </c>
      <c r="L177" s="23">
        <v>3</v>
      </c>
      <c r="M177" s="23">
        <v>6</v>
      </c>
      <c r="N177" s="23">
        <v>4</v>
      </c>
      <c r="O177" s="23">
        <v>8</v>
      </c>
      <c r="P177" s="28">
        <v>5</v>
      </c>
    </row>
    <row r="178" spans="1:16" x14ac:dyDescent="0.25">
      <c r="A178" s="27">
        <v>44733</v>
      </c>
      <c r="B178" s="23">
        <v>58</v>
      </c>
      <c r="C178" s="23">
        <v>42</v>
      </c>
      <c r="D178" s="23">
        <v>39</v>
      </c>
      <c r="E178" s="23">
        <v>3</v>
      </c>
      <c r="F178" s="23">
        <v>15</v>
      </c>
      <c r="G178" s="23">
        <v>1</v>
      </c>
      <c r="H178" s="23">
        <v>4</v>
      </c>
      <c r="I178" s="23">
        <v>6</v>
      </c>
      <c r="J178" s="23">
        <v>3</v>
      </c>
      <c r="K178" s="23">
        <v>1</v>
      </c>
      <c r="L178" s="23">
        <v>3</v>
      </c>
      <c r="M178" s="23">
        <v>6</v>
      </c>
      <c r="N178" s="23">
        <v>7</v>
      </c>
      <c r="O178" s="23">
        <v>6</v>
      </c>
      <c r="P178" s="28">
        <v>3</v>
      </c>
    </row>
    <row r="179" spans="1:16" x14ac:dyDescent="0.25">
      <c r="A179" s="27">
        <v>44734</v>
      </c>
      <c r="B179" s="23">
        <v>73</v>
      </c>
      <c r="C179" s="23">
        <v>59</v>
      </c>
      <c r="D179" s="23">
        <v>57</v>
      </c>
      <c r="E179" s="23">
        <v>2</v>
      </c>
      <c r="F179" s="23">
        <v>11</v>
      </c>
      <c r="G179" s="23">
        <v>3</v>
      </c>
      <c r="H179" s="23">
        <v>3</v>
      </c>
      <c r="I179" s="23">
        <v>12</v>
      </c>
      <c r="J179" s="23">
        <v>5</v>
      </c>
      <c r="K179" s="23">
        <v>1</v>
      </c>
      <c r="L179" s="23">
        <v>7</v>
      </c>
      <c r="M179" s="23">
        <v>7</v>
      </c>
      <c r="N179" s="23">
        <v>8</v>
      </c>
      <c r="O179" s="23">
        <v>11</v>
      </c>
      <c r="P179" s="28">
        <v>3</v>
      </c>
    </row>
    <row r="180" spans="1:16" x14ac:dyDescent="0.25">
      <c r="A180" s="27">
        <v>44735</v>
      </c>
      <c r="B180" s="23">
        <v>62</v>
      </c>
      <c r="C180" s="23">
        <v>49</v>
      </c>
      <c r="D180" s="23">
        <v>44</v>
      </c>
      <c r="E180" s="23">
        <v>5</v>
      </c>
      <c r="F180" s="23">
        <v>11</v>
      </c>
      <c r="G180" s="23">
        <v>2</v>
      </c>
      <c r="H180" s="23">
        <v>1</v>
      </c>
      <c r="I180" s="23">
        <v>6</v>
      </c>
      <c r="J180" s="23">
        <v>4</v>
      </c>
      <c r="K180" s="23">
        <v>4</v>
      </c>
      <c r="L180" s="23">
        <v>7</v>
      </c>
      <c r="M180" s="23">
        <v>4</v>
      </c>
      <c r="N180" s="23">
        <v>9</v>
      </c>
      <c r="O180" s="23">
        <v>4</v>
      </c>
      <c r="P180" s="28">
        <v>5</v>
      </c>
    </row>
    <row r="181" spans="1:16" x14ac:dyDescent="0.25">
      <c r="A181" s="27">
        <v>44736</v>
      </c>
      <c r="B181" s="23">
        <v>47</v>
      </c>
      <c r="C181" s="23">
        <v>39</v>
      </c>
      <c r="D181" s="23">
        <v>36</v>
      </c>
      <c r="E181" s="23">
        <v>3</v>
      </c>
      <c r="F181" s="23">
        <v>6</v>
      </c>
      <c r="G181" s="23">
        <v>2</v>
      </c>
      <c r="H181" s="23">
        <v>0</v>
      </c>
      <c r="I181" s="23">
        <v>7</v>
      </c>
      <c r="J181" s="23">
        <v>3</v>
      </c>
      <c r="K181" s="23">
        <v>5</v>
      </c>
      <c r="L181" s="23">
        <v>5</v>
      </c>
      <c r="M181" s="23">
        <v>4</v>
      </c>
      <c r="N181" s="23">
        <v>4</v>
      </c>
      <c r="O181" s="23">
        <v>4</v>
      </c>
      <c r="P181" s="28">
        <v>4</v>
      </c>
    </row>
    <row r="182" spans="1:16" x14ac:dyDescent="0.25">
      <c r="A182" s="27">
        <v>44737</v>
      </c>
      <c r="B182" s="23">
        <v>72</v>
      </c>
      <c r="C182" s="23">
        <v>61</v>
      </c>
      <c r="D182" s="23">
        <v>56</v>
      </c>
      <c r="E182" s="23">
        <v>4</v>
      </c>
      <c r="F182" s="23">
        <v>8</v>
      </c>
      <c r="G182" s="23">
        <v>3</v>
      </c>
      <c r="H182" s="23">
        <v>2</v>
      </c>
      <c r="I182" s="23">
        <v>7</v>
      </c>
      <c r="J182" s="23">
        <v>5</v>
      </c>
      <c r="K182" s="23">
        <v>6</v>
      </c>
      <c r="L182" s="23">
        <v>2</v>
      </c>
      <c r="M182" s="23">
        <v>10</v>
      </c>
      <c r="N182" s="23">
        <v>6</v>
      </c>
      <c r="O182" s="23">
        <v>8</v>
      </c>
      <c r="P182" s="28">
        <v>10</v>
      </c>
    </row>
    <row r="183" spans="1:16" x14ac:dyDescent="0.25">
      <c r="A183" s="27">
        <v>44738</v>
      </c>
      <c r="B183" s="23">
        <v>69</v>
      </c>
      <c r="C183" s="23">
        <v>59</v>
      </c>
      <c r="D183" s="23">
        <v>57</v>
      </c>
      <c r="E183" s="23">
        <v>2</v>
      </c>
      <c r="F183" s="23">
        <v>8</v>
      </c>
      <c r="G183" s="23">
        <v>2</v>
      </c>
      <c r="H183" s="23">
        <v>1</v>
      </c>
      <c r="I183" s="23">
        <v>5</v>
      </c>
      <c r="J183" s="23">
        <v>5</v>
      </c>
      <c r="K183" s="23">
        <v>8</v>
      </c>
      <c r="L183" s="23">
        <v>7</v>
      </c>
      <c r="M183" s="23">
        <v>4</v>
      </c>
      <c r="N183" s="23">
        <v>8</v>
      </c>
      <c r="O183" s="23">
        <v>15</v>
      </c>
      <c r="P183" s="28">
        <v>4</v>
      </c>
    </row>
    <row r="184" spans="1:16" x14ac:dyDescent="0.25">
      <c r="A184" s="27">
        <v>44739</v>
      </c>
      <c r="B184" s="23">
        <v>64</v>
      </c>
      <c r="C184" s="23">
        <v>47</v>
      </c>
      <c r="D184" s="23">
        <v>45</v>
      </c>
      <c r="E184" s="23">
        <v>2</v>
      </c>
      <c r="F184" s="23">
        <v>12</v>
      </c>
      <c r="G184" s="23">
        <v>5</v>
      </c>
      <c r="H184" s="23">
        <v>2</v>
      </c>
      <c r="I184" s="23">
        <v>8</v>
      </c>
      <c r="J184" s="23">
        <v>4</v>
      </c>
      <c r="K184" s="23">
        <v>7</v>
      </c>
      <c r="L184" s="23">
        <v>3</v>
      </c>
      <c r="M184" s="23">
        <v>5</v>
      </c>
      <c r="N184" s="23">
        <v>7</v>
      </c>
      <c r="O184" s="23">
        <v>5</v>
      </c>
      <c r="P184" s="28">
        <v>4</v>
      </c>
    </row>
    <row r="185" spans="1:16" x14ac:dyDescent="0.25">
      <c r="A185" s="27">
        <v>44740</v>
      </c>
      <c r="B185" s="23">
        <v>72</v>
      </c>
      <c r="C185" s="23">
        <v>51</v>
      </c>
      <c r="D185" s="23">
        <v>49</v>
      </c>
      <c r="E185" s="23">
        <v>2</v>
      </c>
      <c r="F185" s="23">
        <v>18</v>
      </c>
      <c r="G185" s="23">
        <v>3</v>
      </c>
      <c r="H185" s="23">
        <v>5</v>
      </c>
      <c r="I185" s="23">
        <v>7</v>
      </c>
      <c r="J185" s="23">
        <v>4</v>
      </c>
      <c r="K185" s="23">
        <v>7</v>
      </c>
      <c r="L185" s="23">
        <v>2</v>
      </c>
      <c r="M185" s="23">
        <v>9</v>
      </c>
      <c r="N185" s="23">
        <v>3</v>
      </c>
      <c r="O185" s="23">
        <v>7</v>
      </c>
      <c r="P185" s="28">
        <v>5</v>
      </c>
    </row>
    <row r="186" spans="1:16" x14ac:dyDescent="0.25">
      <c r="A186" s="27">
        <v>44741</v>
      </c>
      <c r="B186" s="23">
        <v>84</v>
      </c>
      <c r="C186" s="23">
        <v>72</v>
      </c>
      <c r="D186" s="23">
        <v>66</v>
      </c>
      <c r="E186" s="23">
        <v>5</v>
      </c>
      <c r="F186" s="23">
        <v>8</v>
      </c>
      <c r="G186" s="23">
        <v>4</v>
      </c>
      <c r="H186" s="23">
        <v>4</v>
      </c>
      <c r="I186" s="23">
        <v>10</v>
      </c>
      <c r="J186" s="23">
        <v>3</v>
      </c>
      <c r="K186" s="23">
        <v>8</v>
      </c>
      <c r="L186" s="23">
        <v>6</v>
      </c>
      <c r="M186" s="23">
        <v>6</v>
      </c>
      <c r="N186" s="23">
        <v>8</v>
      </c>
      <c r="O186" s="23">
        <v>15</v>
      </c>
      <c r="P186" s="28">
        <v>6</v>
      </c>
    </row>
    <row r="187" spans="1:16" x14ac:dyDescent="0.25">
      <c r="A187" s="27">
        <v>44742</v>
      </c>
      <c r="B187" s="23">
        <v>76</v>
      </c>
      <c r="C187" s="23">
        <v>59</v>
      </c>
      <c r="D187" s="23">
        <v>53</v>
      </c>
      <c r="E187" s="23">
        <v>5</v>
      </c>
      <c r="F187" s="23">
        <v>15</v>
      </c>
      <c r="G187" s="23">
        <v>2</v>
      </c>
      <c r="H187" s="23">
        <v>3</v>
      </c>
      <c r="I187" s="23">
        <v>9</v>
      </c>
      <c r="J187" s="23">
        <v>6</v>
      </c>
      <c r="K187" s="23">
        <v>3</v>
      </c>
      <c r="L187" s="23">
        <v>8</v>
      </c>
      <c r="M187" s="23">
        <v>8</v>
      </c>
      <c r="N187" s="23">
        <v>4</v>
      </c>
      <c r="O187" s="23">
        <v>6</v>
      </c>
      <c r="P187" s="28">
        <v>6</v>
      </c>
    </row>
    <row r="188" spans="1:16" x14ac:dyDescent="0.25">
      <c r="A188" s="27">
        <v>44743</v>
      </c>
      <c r="B188" s="23">
        <v>79</v>
      </c>
      <c r="C188" s="23">
        <v>67</v>
      </c>
      <c r="D188" s="23">
        <v>62</v>
      </c>
      <c r="E188" s="23">
        <v>5</v>
      </c>
      <c r="F188" s="23">
        <v>10</v>
      </c>
      <c r="G188" s="23">
        <v>2</v>
      </c>
      <c r="H188" s="23">
        <v>2</v>
      </c>
      <c r="I188" s="23">
        <v>6</v>
      </c>
      <c r="J188" s="23">
        <v>13</v>
      </c>
      <c r="K188" s="23">
        <v>7</v>
      </c>
      <c r="L188" s="23">
        <v>4</v>
      </c>
      <c r="M188" s="23">
        <v>9</v>
      </c>
      <c r="N188" s="23">
        <v>3</v>
      </c>
      <c r="O188" s="23">
        <v>13</v>
      </c>
      <c r="P188" s="28">
        <v>5</v>
      </c>
    </row>
    <row r="189" spans="1:16" x14ac:dyDescent="0.25">
      <c r="A189" s="27">
        <v>44744</v>
      </c>
      <c r="B189" s="23">
        <v>90</v>
      </c>
      <c r="C189" s="23">
        <v>73</v>
      </c>
      <c r="D189" s="23">
        <v>67</v>
      </c>
      <c r="E189" s="23">
        <v>5</v>
      </c>
      <c r="F189" s="23">
        <v>16</v>
      </c>
      <c r="G189" s="23">
        <v>1</v>
      </c>
      <c r="H189" s="23">
        <v>5</v>
      </c>
      <c r="I189" s="23">
        <v>13</v>
      </c>
      <c r="J189" s="23">
        <v>8</v>
      </c>
      <c r="K189" s="23">
        <v>2</v>
      </c>
      <c r="L189" s="23">
        <v>5</v>
      </c>
      <c r="M189" s="23">
        <v>8</v>
      </c>
      <c r="N189" s="23">
        <v>10</v>
      </c>
      <c r="O189" s="23">
        <v>9</v>
      </c>
      <c r="P189" s="28">
        <v>7</v>
      </c>
    </row>
    <row r="190" spans="1:16" x14ac:dyDescent="0.25">
      <c r="A190" s="27">
        <v>44745</v>
      </c>
      <c r="B190" s="23">
        <v>69</v>
      </c>
      <c r="C190" s="23">
        <v>56</v>
      </c>
      <c r="D190" s="23">
        <v>53</v>
      </c>
      <c r="E190" s="23">
        <v>3</v>
      </c>
      <c r="F190" s="23">
        <v>8</v>
      </c>
      <c r="G190" s="23">
        <v>5</v>
      </c>
      <c r="H190" s="23">
        <v>4</v>
      </c>
      <c r="I190" s="23">
        <v>2</v>
      </c>
      <c r="J190" s="23">
        <v>6</v>
      </c>
      <c r="K190" s="23">
        <v>7</v>
      </c>
      <c r="L190" s="23">
        <v>4</v>
      </c>
      <c r="M190" s="23">
        <v>9</v>
      </c>
      <c r="N190" s="23">
        <v>7</v>
      </c>
      <c r="O190" s="23">
        <v>8</v>
      </c>
      <c r="P190" s="28">
        <v>6</v>
      </c>
    </row>
    <row r="191" spans="1:16" x14ac:dyDescent="0.25">
      <c r="A191" s="27">
        <v>44746</v>
      </c>
      <c r="B191" s="23">
        <v>91</v>
      </c>
      <c r="C191" s="23">
        <v>75</v>
      </c>
      <c r="D191" s="23">
        <v>72</v>
      </c>
      <c r="E191" s="23">
        <v>3</v>
      </c>
      <c r="F191" s="23">
        <v>13</v>
      </c>
      <c r="G191" s="23">
        <v>3</v>
      </c>
      <c r="H191" s="23">
        <v>3</v>
      </c>
      <c r="I191" s="23">
        <v>7</v>
      </c>
      <c r="J191" s="23">
        <v>11</v>
      </c>
      <c r="K191" s="23">
        <v>7</v>
      </c>
      <c r="L191" s="23">
        <v>8</v>
      </c>
      <c r="M191" s="23">
        <v>12</v>
      </c>
      <c r="N191" s="23">
        <v>9</v>
      </c>
      <c r="O191" s="23">
        <v>8</v>
      </c>
      <c r="P191" s="28">
        <v>7</v>
      </c>
    </row>
    <row r="192" spans="1:16" x14ac:dyDescent="0.25">
      <c r="A192" s="27">
        <v>44747</v>
      </c>
      <c r="B192" s="23">
        <v>102</v>
      </c>
      <c r="C192" s="23">
        <v>86</v>
      </c>
      <c r="D192" s="23">
        <v>83</v>
      </c>
      <c r="E192" s="23">
        <v>3</v>
      </c>
      <c r="F192" s="23">
        <v>12</v>
      </c>
      <c r="G192" s="23">
        <v>4</v>
      </c>
      <c r="H192" s="23">
        <v>5</v>
      </c>
      <c r="I192" s="23">
        <v>17</v>
      </c>
      <c r="J192" s="23">
        <v>7</v>
      </c>
      <c r="K192" s="23">
        <v>7</v>
      </c>
      <c r="L192" s="23">
        <v>8</v>
      </c>
      <c r="M192" s="23">
        <v>5</v>
      </c>
      <c r="N192" s="23">
        <v>12</v>
      </c>
      <c r="O192" s="23">
        <v>13</v>
      </c>
      <c r="P192" s="28">
        <v>9</v>
      </c>
    </row>
    <row r="193" spans="1:16" x14ac:dyDescent="0.25">
      <c r="A193" s="27">
        <v>44748</v>
      </c>
      <c r="B193" s="23">
        <v>116</v>
      </c>
      <c r="C193" s="23">
        <v>94</v>
      </c>
      <c r="D193" s="23">
        <v>89</v>
      </c>
      <c r="E193" s="23">
        <v>5</v>
      </c>
      <c r="F193" s="23">
        <v>16</v>
      </c>
      <c r="G193" s="23">
        <v>6</v>
      </c>
      <c r="H193" s="23">
        <v>8</v>
      </c>
      <c r="I193" s="23">
        <v>8</v>
      </c>
      <c r="J193" s="23">
        <v>8</v>
      </c>
      <c r="K193" s="23">
        <v>4</v>
      </c>
      <c r="L193" s="23">
        <v>12</v>
      </c>
      <c r="M193" s="23">
        <v>11</v>
      </c>
      <c r="N193" s="23">
        <v>10</v>
      </c>
      <c r="O193" s="23">
        <v>19</v>
      </c>
      <c r="P193" s="28">
        <v>9</v>
      </c>
    </row>
    <row r="194" spans="1:16" x14ac:dyDescent="0.25">
      <c r="A194" s="27">
        <v>44749</v>
      </c>
      <c r="B194" s="23">
        <v>102</v>
      </c>
      <c r="C194" s="23">
        <v>87</v>
      </c>
      <c r="D194" s="23">
        <v>84</v>
      </c>
      <c r="E194" s="23">
        <v>3</v>
      </c>
      <c r="F194" s="23">
        <v>10</v>
      </c>
      <c r="G194" s="23">
        <v>5</v>
      </c>
      <c r="H194" s="23">
        <v>6</v>
      </c>
      <c r="I194" s="23">
        <v>12</v>
      </c>
      <c r="J194" s="23">
        <v>6</v>
      </c>
      <c r="K194" s="23">
        <v>7</v>
      </c>
      <c r="L194" s="23">
        <v>7</v>
      </c>
      <c r="M194" s="23">
        <v>9</v>
      </c>
      <c r="N194" s="23">
        <v>12</v>
      </c>
      <c r="O194" s="23">
        <v>16</v>
      </c>
      <c r="P194" s="28">
        <v>9</v>
      </c>
    </row>
    <row r="195" spans="1:16" x14ac:dyDescent="0.25">
      <c r="A195" s="27">
        <v>44750</v>
      </c>
      <c r="B195" s="23">
        <v>108</v>
      </c>
      <c r="C195" s="23">
        <v>88</v>
      </c>
      <c r="D195" s="23">
        <v>84</v>
      </c>
      <c r="E195" s="23">
        <v>4</v>
      </c>
      <c r="F195" s="23">
        <v>15</v>
      </c>
      <c r="G195" s="23">
        <v>5</v>
      </c>
      <c r="H195" s="23">
        <v>3</v>
      </c>
      <c r="I195" s="23">
        <v>11</v>
      </c>
      <c r="J195" s="23">
        <v>8</v>
      </c>
      <c r="K195" s="23">
        <v>13</v>
      </c>
      <c r="L195" s="23">
        <v>14</v>
      </c>
      <c r="M195" s="23">
        <v>10</v>
      </c>
      <c r="N195" s="23">
        <v>9</v>
      </c>
      <c r="O195" s="23">
        <v>10</v>
      </c>
      <c r="P195" s="28">
        <v>6</v>
      </c>
    </row>
    <row r="196" spans="1:16" x14ac:dyDescent="0.25">
      <c r="A196" s="27">
        <v>44751</v>
      </c>
      <c r="B196" s="23">
        <v>108</v>
      </c>
      <c r="C196" s="23">
        <v>95</v>
      </c>
      <c r="D196" s="23">
        <v>90</v>
      </c>
      <c r="E196" s="23">
        <v>4</v>
      </c>
      <c r="F196" s="23">
        <v>10</v>
      </c>
      <c r="G196" s="23">
        <v>3</v>
      </c>
      <c r="H196" s="23">
        <v>5</v>
      </c>
      <c r="I196" s="23">
        <v>7</v>
      </c>
      <c r="J196" s="23">
        <v>4</v>
      </c>
      <c r="K196" s="23">
        <v>9</v>
      </c>
      <c r="L196" s="23">
        <v>18</v>
      </c>
      <c r="M196" s="23">
        <v>10</v>
      </c>
      <c r="N196" s="23">
        <v>11</v>
      </c>
      <c r="O196" s="23">
        <v>18</v>
      </c>
      <c r="P196" s="28">
        <v>8</v>
      </c>
    </row>
    <row r="197" spans="1:16" x14ac:dyDescent="0.25">
      <c r="A197" s="27">
        <v>44752</v>
      </c>
      <c r="B197" s="23">
        <v>117</v>
      </c>
      <c r="C197" s="23">
        <v>100</v>
      </c>
      <c r="D197" s="23">
        <v>87</v>
      </c>
      <c r="E197" s="23">
        <v>12</v>
      </c>
      <c r="F197" s="23">
        <v>15</v>
      </c>
      <c r="G197" s="23">
        <v>2</v>
      </c>
      <c r="H197" s="23">
        <v>3</v>
      </c>
      <c r="I197" s="23">
        <v>7</v>
      </c>
      <c r="J197" s="23">
        <v>6</v>
      </c>
      <c r="K197" s="23">
        <v>9</v>
      </c>
      <c r="L197" s="23">
        <v>11</v>
      </c>
      <c r="M197" s="23">
        <v>12</v>
      </c>
      <c r="N197" s="23">
        <v>11</v>
      </c>
      <c r="O197" s="23">
        <v>18</v>
      </c>
      <c r="P197" s="28">
        <v>10</v>
      </c>
    </row>
    <row r="198" spans="1:16" x14ac:dyDescent="0.25">
      <c r="A198" s="27">
        <v>44753</v>
      </c>
      <c r="B198" s="23">
        <v>128</v>
      </c>
      <c r="C198" s="23">
        <v>108</v>
      </c>
      <c r="D198" s="23">
        <v>100</v>
      </c>
      <c r="E198" s="23">
        <v>8</v>
      </c>
      <c r="F198" s="23">
        <v>17</v>
      </c>
      <c r="G198" s="23">
        <v>3</v>
      </c>
      <c r="H198" s="23">
        <v>3</v>
      </c>
      <c r="I198" s="23">
        <v>12</v>
      </c>
      <c r="J198" s="23">
        <v>10</v>
      </c>
      <c r="K198" s="23">
        <v>7</v>
      </c>
      <c r="L198" s="23">
        <v>14</v>
      </c>
      <c r="M198" s="23">
        <v>15</v>
      </c>
      <c r="N198" s="23">
        <v>13</v>
      </c>
      <c r="O198" s="23">
        <v>15</v>
      </c>
      <c r="P198" s="28">
        <v>11</v>
      </c>
    </row>
    <row r="199" spans="1:16" x14ac:dyDescent="0.25">
      <c r="A199" s="27">
        <v>44754</v>
      </c>
      <c r="B199" s="23">
        <v>154</v>
      </c>
      <c r="C199" s="23">
        <v>130</v>
      </c>
      <c r="D199" s="23">
        <v>120</v>
      </c>
      <c r="E199" s="23">
        <v>10</v>
      </c>
      <c r="F199" s="23">
        <v>14</v>
      </c>
      <c r="G199" s="23">
        <v>10</v>
      </c>
      <c r="H199" s="23">
        <v>5</v>
      </c>
      <c r="I199" s="23">
        <v>14</v>
      </c>
      <c r="J199" s="23">
        <v>13</v>
      </c>
      <c r="K199" s="23">
        <v>10</v>
      </c>
      <c r="L199" s="23">
        <v>13</v>
      </c>
      <c r="M199" s="23">
        <v>17</v>
      </c>
      <c r="N199" s="23">
        <v>12</v>
      </c>
      <c r="O199" s="23">
        <v>20</v>
      </c>
      <c r="P199" s="28">
        <v>16</v>
      </c>
    </row>
    <row r="200" spans="1:16" x14ac:dyDescent="0.25">
      <c r="A200" s="27">
        <v>44755</v>
      </c>
      <c r="B200" s="23">
        <v>136</v>
      </c>
      <c r="C200" s="23">
        <v>117</v>
      </c>
      <c r="D200" s="23">
        <v>110</v>
      </c>
      <c r="E200" s="23">
        <v>6</v>
      </c>
      <c r="F200" s="23">
        <v>15</v>
      </c>
      <c r="G200" s="23">
        <v>4</v>
      </c>
      <c r="H200" s="23">
        <v>6</v>
      </c>
      <c r="I200" s="23">
        <v>14</v>
      </c>
      <c r="J200" s="23">
        <v>11</v>
      </c>
      <c r="K200" s="23">
        <v>8</v>
      </c>
      <c r="L200" s="23">
        <v>18</v>
      </c>
      <c r="M200" s="23">
        <v>10</v>
      </c>
      <c r="N200" s="23">
        <v>13</v>
      </c>
      <c r="O200" s="23">
        <v>18</v>
      </c>
      <c r="P200" s="28">
        <v>12</v>
      </c>
    </row>
    <row r="201" spans="1:16" x14ac:dyDescent="0.25">
      <c r="A201" s="27">
        <v>44756</v>
      </c>
      <c r="B201" s="23">
        <v>127</v>
      </c>
      <c r="C201" s="23">
        <v>111</v>
      </c>
      <c r="D201" s="23">
        <v>101</v>
      </c>
      <c r="E201" s="23">
        <v>9</v>
      </c>
      <c r="F201" s="23">
        <v>10</v>
      </c>
      <c r="G201" s="23">
        <v>6</v>
      </c>
      <c r="H201" s="23">
        <v>4</v>
      </c>
      <c r="I201" s="23">
        <v>15</v>
      </c>
      <c r="J201" s="23">
        <v>14</v>
      </c>
      <c r="K201" s="23">
        <v>12</v>
      </c>
      <c r="L201" s="23">
        <v>11</v>
      </c>
      <c r="M201" s="23">
        <v>12</v>
      </c>
      <c r="N201" s="23">
        <v>5</v>
      </c>
      <c r="O201" s="23">
        <v>13</v>
      </c>
      <c r="P201" s="28">
        <v>15</v>
      </c>
    </row>
    <row r="202" spans="1:16" x14ac:dyDescent="0.25">
      <c r="A202" s="27">
        <v>44757</v>
      </c>
      <c r="B202" s="23">
        <v>105</v>
      </c>
      <c r="C202" s="23">
        <v>95</v>
      </c>
      <c r="D202" s="23">
        <v>91</v>
      </c>
      <c r="E202" s="23">
        <v>4</v>
      </c>
      <c r="F202" s="23">
        <v>7</v>
      </c>
      <c r="G202" s="23">
        <v>3</v>
      </c>
      <c r="H202" s="23">
        <v>4</v>
      </c>
      <c r="I202" s="23">
        <v>9</v>
      </c>
      <c r="J202" s="23">
        <v>6</v>
      </c>
      <c r="K202" s="23">
        <v>10</v>
      </c>
      <c r="L202" s="23">
        <v>14</v>
      </c>
      <c r="M202" s="23">
        <v>12</v>
      </c>
      <c r="N202" s="23">
        <v>11</v>
      </c>
      <c r="O202" s="23">
        <v>14</v>
      </c>
      <c r="P202" s="28">
        <v>11</v>
      </c>
    </row>
    <row r="203" spans="1:16" x14ac:dyDescent="0.25">
      <c r="A203" s="27">
        <v>44758</v>
      </c>
      <c r="B203" s="23">
        <v>121</v>
      </c>
      <c r="C203" s="23">
        <v>105</v>
      </c>
      <c r="D203" s="23">
        <v>99</v>
      </c>
      <c r="E203" s="23">
        <v>6</v>
      </c>
      <c r="F203" s="23">
        <v>14</v>
      </c>
      <c r="G203" s="23">
        <v>2</v>
      </c>
      <c r="H203" s="23">
        <v>2</v>
      </c>
      <c r="I203" s="23">
        <v>16</v>
      </c>
      <c r="J203" s="23">
        <v>5</v>
      </c>
      <c r="K203" s="23">
        <v>10</v>
      </c>
      <c r="L203" s="23">
        <v>15</v>
      </c>
      <c r="M203" s="23">
        <v>8</v>
      </c>
      <c r="N203" s="23">
        <v>13</v>
      </c>
      <c r="O203" s="23">
        <v>15</v>
      </c>
      <c r="P203" s="28">
        <v>15</v>
      </c>
    </row>
    <row r="204" spans="1:16" x14ac:dyDescent="0.25">
      <c r="A204" s="27">
        <v>44759</v>
      </c>
      <c r="B204" s="23">
        <v>158</v>
      </c>
      <c r="C204" s="23">
        <v>140</v>
      </c>
      <c r="D204" s="23">
        <v>133</v>
      </c>
      <c r="E204" s="23">
        <v>7</v>
      </c>
      <c r="F204" s="23">
        <v>15</v>
      </c>
      <c r="G204" s="23">
        <v>3</v>
      </c>
      <c r="H204" s="23">
        <v>6</v>
      </c>
      <c r="I204" s="23">
        <v>18</v>
      </c>
      <c r="J204" s="23">
        <v>14</v>
      </c>
      <c r="K204" s="23">
        <v>18</v>
      </c>
      <c r="L204" s="23">
        <v>11</v>
      </c>
      <c r="M204" s="23">
        <v>13</v>
      </c>
      <c r="N204" s="23">
        <v>17</v>
      </c>
      <c r="O204" s="23">
        <v>24</v>
      </c>
      <c r="P204" s="28">
        <v>12</v>
      </c>
    </row>
    <row r="205" spans="1:16" x14ac:dyDescent="0.25">
      <c r="A205" s="27">
        <v>44760</v>
      </c>
      <c r="B205" s="23">
        <v>127</v>
      </c>
      <c r="C205" s="23">
        <v>110</v>
      </c>
      <c r="D205" s="23">
        <v>99</v>
      </c>
      <c r="E205" s="23">
        <v>11</v>
      </c>
      <c r="F205" s="23">
        <v>13</v>
      </c>
      <c r="G205" s="23">
        <v>4</v>
      </c>
      <c r="H205" s="23">
        <v>3</v>
      </c>
      <c r="I205" s="23">
        <v>12</v>
      </c>
      <c r="J205" s="23">
        <v>14</v>
      </c>
      <c r="K205" s="23">
        <v>14</v>
      </c>
      <c r="L205" s="23">
        <v>11</v>
      </c>
      <c r="M205" s="23">
        <v>15</v>
      </c>
      <c r="N205" s="23">
        <v>13</v>
      </c>
      <c r="O205" s="23">
        <v>12</v>
      </c>
      <c r="P205" s="28">
        <v>5</v>
      </c>
    </row>
    <row r="206" spans="1:16" x14ac:dyDescent="0.25">
      <c r="A206" s="27">
        <v>44761</v>
      </c>
      <c r="B206" s="23">
        <v>225</v>
      </c>
      <c r="C206" s="23">
        <v>209</v>
      </c>
      <c r="D206" s="23">
        <v>193</v>
      </c>
      <c r="E206" s="23">
        <v>16</v>
      </c>
      <c r="F206" s="23">
        <v>10</v>
      </c>
      <c r="G206" s="23">
        <v>6</v>
      </c>
      <c r="H206" s="23">
        <v>10</v>
      </c>
      <c r="I206" s="23">
        <v>19</v>
      </c>
      <c r="J206" s="23">
        <v>20</v>
      </c>
      <c r="K206" s="23">
        <v>23</v>
      </c>
      <c r="L206" s="23">
        <v>29</v>
      </c>
      <c r="M206" s="23">
        <v>21</v>
      </c>
      <c r="N206" s="23">
        <v>15</v>
      </c>
      <c r="O206" s="23">
        <v>40</v>
      </c>
      <c r="P206" s="28">
        <v>16</v>
      </c>
    </row>
    <row r="207" spans="1:16" x14ac:dyDescent="0.25">
      <c r="A207" s="27">
        <v>44762</v>
      </c>
      <c r="B207" s="23">
        <v>191</v>
      </c>
      <c r="C207" s="23">
        <v>177</v>
      </c>
      <c r="D207" s="23">
        <v>172</v>
      </c>
      <c r="E207" s="23">
        <v>5</v>
      </c>
      <c r="F207" s="23">
        <v>11</v>
      </c>
      <c r="G207" s="23">
        <v>3</v>
      </c>
      <c r="H207" s="23">
        <v>10</v>
      </c>
      <c r="I207" s="23">
        <v>12</v>
      </c>
      <c r="J207" s="23">
        <v>24</v>
      </c>
      <c r="K207" s="23">
        <v>22</v>
      </c>
      <c r="L207" s="23">
        <v>16</v>
      </c>
      <c r="M207" s="23">
        <v>23</v>
      </c>
      <c r="N207" s="23">
        <v>20</v>
      </c>
      <c r="O207" s="23">
        <v>25</v>
      </c>
      <c r="P207" s="28">
        <v>20</v>
      </c>
    </row>
    <row r="208" spans="1:16" x14ac:dyDescent="0.25">
      <c r="A208" s="27">
        <v>44763</v>
      </c>
      <c r="B208" s="23">
        <v>127</v>
      </c>
      <c r="C208" s="23">
        <v>109</v>
      </c>
      <c r="D208" s="23">
        <v>103</v>
      </c>
      <c r="E208" s="23">
        <v>5</v>
      </c>
      <c r="F208" s="23">
        <v>16</v>
      </c>
      <c r="G208" s="23">
        <v>2</v>
      </c>
      <c r="H208" s="23">
        <v>9</v>
      </c>
      <c r="I208" s="23">
        <v>17</v>
      </c>
      <c r="J208" s="23">
        <v>10</v>
      </c>
      <c r="K208" s="23">
        <v>8</v>
      </c>
      <c r="L208" s="23">
        <v>11</v>
      </c>
      <c r="M208" s="23">
        <v>11</v>
      </c>
      <c r="N208" s="23">
        <v>12</v>
      </c>
      <c r="O208" s="23">
        <v>11</v>
      </c>
      <c r="P208" s="28">
        <v>14</v>
      </c>
    </row>
    <row r="209" spans="1:16" x14ac:dyDescent="0.25">
      <c r="A209" s="27">
        <v>44764</v>
      </c>
      <c r="B209" s="23">
        <v>117</v>
      </c>
      <c r="C209" s="23">
        <v>98</v>
      </c>
      <c r="D209" s="23">
        <v>88</v>
      </c>
      <c r="E209" s="23">
        <v>10</v>
      </c>
      <c r="F209" s="23">
        <v>14</v>
      </c>
      <c r="G209" s="23">
        <v>5</v>
      </c>
      <c r="H209" s="23">
        <v>5</v>
      </c>
      <c r="I209" s="23">
        <v>8</v>
      </c>
      <c r="J209" s="23">
        <v>5</v>
      </c>
      <c r="K209" s="23">
        <v>13</v>
      </c>
      <c r="L209" s="23">
        <v>14</v>
      </c>
      <c r="M209" s="23">
        <v>14</v>
      </c>
      <c r="N209" s="23">
        <v>9</v>
      </c>
      <c r="O209" s="23">
        <v>10</v>
      </c>
      <c r="P209" s="28">
        <v>10</v>
      </c>
    </row>
    <row r="210" spans="1:16" x14ac:dyDescent="0.25">
      <c r="A210" s="27">
        <v>44765</v>
      </c>
      <c r="B210" s="23">
        <v>128</v>
      </c>
      <c r="C210" s="23">
        <v>108</v>
      </c>
      <c r="D210" s="23">
        <v>101</v>
      </c>
      <c r="E210" s="23">
        <v>6</v>
      </c>
      <c r="F210" s="23">
        <v>15</v>
      </c>
      <c r="G210" s="23">
        <v>5</v>
      </c>
      <c r="H210" s="23">
        <v>6</v>
      </c>
      <c r="I210" s="23">
        <v>17</v>
      </c>
      <c r="J210" s="23">
        <v>9</v>
      </c>
      <c r="K210" s="23">
        <v>13</v>
      </c>
      <c r="L210" s="23">
        <v>13</v>
      </c>
      <c r="M210" s="23">
        <v>6</v>
      </c>
      <c r="N210" s="23">
        <v>13</v>
      </c>
      <c r="O210" s="23">
        <v>15</v>
      </c>
      <c r="P210" s="28">
        <v>9</v>
      </c>
    </row>
    <row r="211" spans="1:16" x14ac:dyDescent="0.25">
      <c r="A211" s="27">
        <v>44766</v>
      </c>
      <c r="B211" s="23">
        <v>133</v>
      </c>
      <c r="C211" s="23">
        <v>112</v>
      </c>
      <c r="D211" s="23">
        <v>106</v>
      </c>
      <c r="E211" s="23">
        <v>5</v>
      </c>
      <c r="F211" s="23">
        <v>16</v>
      </c>
      <c r="G211" s="23">
        <v>5</v>
      </c>
      <c r="H211" s="23">
        <v>6</v>
      </c>
      <c r="I211" s="23">
        <v>6</v>
      </c>
      <c r="J211" s="23">
        <v>13</v>
      </c>
      <c r="K211" s="23">
        <v>10</v>
      </c>
      <c r="L211" s="23">
        <v>17</v>
      </c>
      <c r="M211" s="23">
        <v>13</v>
      </c>
      <c r="N211" s="23">
        <v>7</v>
      </c>
      <c r="O211" s="23">
        <v>23</v>
      </c>
      <c r="P211" s="28">
        <v>11</v>
      </c>
    </row>
    <row r="212" spans="1:16" x14ac:dyDescent="0.25">
      <c r="A212" s="27">
        <v>44767</v>
      </c>
      <c r="B212" s="23">
        <v>114</v>
      </c>
      <c r="C212" s="23">
        <v>100</v>
      </c>
      <c r="D212" s="23">
        <v>93</v>
      </c>
      <c r="E212" s="23">
        <v>7</v>
      </c>
      <c r="F212" s="23">
        <v>10</v>
      </c>
      <c r="G212" s="23">
        <v>4</v>
      </c>
      <c r="H212" s="23">
        <v>5</v>
      </c>
      <c r="I212" s="23">
        <v>12</v>
      </c>
      <c r="J212" s="23">
        <v>9</v>
      </c>
      <c r="K212" s="23">
        <v>11</v>
      </c>
      <c r="L212" s="23">
        <v>16</v>
      </c>
      <c r="M212" s="23">
        <v>10</v>
      </c>
      <c r="N212" s="23">
        <v>12</v>
      </c>
      <c r="O212" s="23">
        <v>11</v>
      </c>
      <c r="P212" s="28">
        <v>7</v>
      </c>
    </row>
    <row r="213" spans="1:16" x14ac:dyDescent="0.25">
      <c r="A213" s="27">
        <v>44768</v>
      </c>
      <c r="B213" s="23">
        <v>121</v>
      </c>
      <c r="C213" s="23">
        <v>104</v>
      </c>
      <c r="D213" s="23">
        <v>95</v>
      </c>
      <c r="E213" s="23">
        <v>8</v>
      </c>
      <c r="F213" s="23">
        <v>15</v>
      </c>
      <c r="G213" s="23">
        <v>2</v>
      </c>
      <c r="H213" s="23">
        <v>5</v>
      </c>
      <c r="I213" s="23">
        <v>14</v>
      </c>
      <c r="J213" s="23">
        <v>13</v>
      </c>
      <c r="K213" s="23">
        <v>16</v>
      </c>
      <c r="L213" s="23">
        <v>9</v>
      </c>
      <c r="M213" s="23">
        <v>10</v>
      </c>
      <c r="N213" s="23">
        <v>11</v>
      </c>
      <c r="O213" s="23">
        <v>14</v>
      </c>
      <c r="P213" s="28">
        <v>3</v>
      </c>
    </row>
    <row r="214" spans="1:16" x14ac:dyDescent="0.25">
      <c r="A214" s="27">
        <v>44769</v>
      </c>
      <c r="B214" s="23">
        <v>115</v>
      </c>
      <c r="C214" s="23">
        <v>107</v>
      </c>
      <c r="D214" s="23">
        <v>99</v>
      </c>
      <c r="E214" s="23">
        <v>8</v>
      </c>
      <c r="F214" s="23">
        <v>7</v>
      </c>
      <c r="G214" s="23">
        <v>1</v>
      </c>
      <c r="H214" s="23">
        <v>5</v>
      </c>
      <c r="I214" s="23">
        <v>15</v>
      </c>
      <c r="J214" s="23">
        <v>6</v>
      </c>
      <c r="K214" s="23">
        <v>10</v>
      </c>
      <c r="L214" s="23">
        <v>8</v>
      </c>
      <c r="M214" s="23">
        <v>18</v>
      </c>
      <c r="N214" s="23">
        <v>14</v>
      </c>
      <c r="O214" s="23">
        <v>18</v>
      </c>
      <c r="P214" s="28">
        <v>5</v>
      </c>
    </row>
    <row r="215" spans="1:16" x14ac:dyDescent="0.25">
      <c r="A215" s="27">
        <v>44770</v>
      </c>
      <c r="B215" s="23">
        <v>126</v>
      </c>
      <c r="C215" s="23">
        <v>111</v>
      </c>
      <c r="D215" s="23">
        <v>105</v>
      </c>
      <c r="E215" s="23">
        <v>6</v>
      </c>
      <c r="F215" s="23">
        <v>12</v>
      </c>
      <c r="G215" s="23">
        <v>3</v>
      </c>
      <c r="H215" s="23">
        <v>3</v>
      </c>
      <c r="I215" s="23">
        <v>14</v>
      </c>
      <c r="J215" s="23">
        <v>10</v>
      </c>
      <c r="K215" s="23">
        <v>13</v>
      </c>
      <c r="L215" s="23">
        <v>12</v>
      </c>
      <c r="M215" s="23">
        <v>16</v>
      </c>
      <c r="N215" s="23">
        <v>11</v>
      </c>
      <c r="O215" s="23">
        <v>18</v>
      </c>
      <c r="P215" s="28">
        <v>8</v>
      </c>
    </row>
    <row r="216" spans="1:16" x14ac:dyDescent="0.25">
      <c r="A216" s="27">
        <v>44771</v>
      </c>
      <c r="B216" s="23">
        <v>118</v>
      </c>
      <c r="C216" s="23">
        <v>105</v>
      </c>
      <c r="D216" s="23">
        <v>101</v>
      </c>
      <c r="E216" s="23">
        <v>4</v>
      </c>
      <c r="F216" s="23">
        <v>7</v>
      </c>
      <c r="G216" s="23">
        <v>6</v>
      </c>
      <c r="H216" s="23">
        <v>5</v>
      </c>
      <c r="I216" s="23">
        <v>15</v>
      </c>
      <c r="J216" s="23">
        <v>13</v>
      </c>
      <c r="K216" s="23">
        <v>8</v>
      </c>
      <c r="L216" s="23">
        <v>16</v>
      </c>
      <c r="M216" s="23">
        <v>12</v>
      </c>
      <c r="N216" s="23">
        <v>8</v>
      </c>
      <c r="O216" s="23">
        <v>14</v>
      </c>
      <c r="P216" s="28">
        <v>10</v>
      </c>
    </row>
    <row r="217" spans="1:16" x14ac:dyDescent="0.25">
      <c r="A217" s="27">
        <v>44772</v>
      </c>
      <c r="B217" s="23">
        <v>79</v>
      </c>
      <c r="C217" s="23">
        <v>68</v>
      </c>
      <c r="D217" s="23">
        <v>65</v>
      </c>
      <c r="E217" s="23">
        <v>1</v>
      </c>
      <c r="F217" s="23">
        <v>8</v>
      </c>
      <c r="G217" s="23">
        <v>3</v>
      </c>
      <c r="H217" s="23">
        <v>2</v>
      </c>
      <c r="I217" s="23">
        <v>11</v>
      </c>
      <c r="J217" s="23">
        <v>7</v>
      </c>
      <c r="K217" s="23">
        <v>7</v>
      </c>
      <c r="L217" s="23">
        <v>6</v>
      </c>
      <c r="M217" s="23">
        <v>7</v>
      </c>
      <c r="N217" s="23">
        <v>8</v>
      </c>
      <c r="O217" s="23">
        <v>11</v>
      </c>
      <c r="P217" s="28">
        <v>6</v>
      </c>
    </row>
    <row r="218" spans="1:16" x14ac:dyDescent="0.25">
      <c r="A218" s="27">
        <v>44773</v>
      </c>
      <c r="B218" s="23">
        <v>98</v>
      </c>
      <c r="C218" s="23">
        <v>83</v>
      </c>
      <c r="D218" s="23">
        <v>80</v>
      </c>
      <c r="E218" s="23">
        <v>3</v>
      </c>
      <c r="F218" s="23">
        <v>13</v>
      </c>
      <c r="G218" s="23">
        <v>2</v>
      </c>
      <c r="H218" s="23">
        <v>6</v>
      </c>
      <c r="I218" s="23">
        <v>10</v>
      </c>
      <c r="J218" s="23">
        <v>11</v>
      </c>
      <c r="K218" s="23">
        <v>9</v>
      </c>
      <c r="L218" s="23">
        <v>13</v>
      </c>
      <c r="M218" s="23">
        <v>8</v>
      </c>
      <c r="N218" s="23">
        <v>4</v>
      </c>
      <c r="O218" s="23">
        <v>12</v>
      </c>
      <c r="P218" s="28">
        <v>7</v>
      </c>
    </row>
    <row r="219" spans="1:16" x14ac:dyDescent="0.25">
      <c r="A219" s="27">
        <v>44774</v>
      </c>
      <c r="B219" s="23">
        <v>93</v>
      </c>
      <c r="C219" s="23">
        <v>82</v>
      </c>
      <c r="D219" s="23">
        <v>75</v>
      </c>
      <c r="E219" s="23">
        <v>7</v>
      </c>
      <c r="F219" s="23">
        <v>7</v>
      </c>
      <c r="G219" s="23">
        <v>4</v>
      </c>
      <c r="H219" s="23">
        <v>8</v>
      </c>
      <c r="I219" s="23">
        <v>8</v>
      </c>
      <c r="J219" s="23">
        <v>9</v>
      </c>
      <c r="K219" s="23">
        <v>5</v>
      </c>
      <c r="L219" s="23">
        <v>7</v>
      </c>
      <c r="M219" s="23">
        <v>8</v>
      </c>
      <c r="N219" s="23">
        <v>8</v>
      </c>
      <c r="O219" s="23">
        <v>14</v>
      </c>
      <c r="P219" s="28">
        <v>8</v>
      </c>
    </row>
    <row r="220" spans="1:16" x14ac:dyDescent="0.25">
      <c r="A220" s="27">
        <v>44775</v>
      </c>
      <c r="B220" s="23">
        <v>102</v>
      </c>
      <c r="C220" s="23">
        <v>91</v>
      </c>
      <c r="D220" s="23">
        <v>86</v>
      </c>
      <c r="E220" s="23">
        <v>5</v>
      </c>
      <c r="F220" s="23">
        <v>11</v>
      </c>
      <c r="G220" s="23">
        <v>0</v>
      </c>
      <c r="H220" s="23">
        <v>7</v>
      </c>
      <c r="I220" s="23">
        <v>7</v>
      </c>
      <c r="J220" s="23">
        <v>13</v>
      </c>
      <c r="K220" s="23">
        <v>6</v>
      </c>
      <c r="L220" s="23">
        <v>11</v>
      </c>
      <c r="M220" s="23">
        <v>5</v>
      </c>
      <c r="N220" s="23">
        <v>14</v>
      </c>
      <c r="O220" s="23">
        <v>13</v>
      </c>
      <c r="P220" s="28">
        <v>10</v>
      </c>
    </row>
    <row r="221" spans="1:16" x14ac:dyDescent="0.25">
      <c r="A221" s="27">
        <v>44776</v>
      </c>
      <c r="B221" s="23">
        <v>107</v>
      </c>
      <c r="C221" s="23">
        <v>100</v>
      </c>
      <c r="D221" s="23">
        <v>98</v>
      </c>
      <c r="E221" s="23">
        <v>2</v>
      </c>
      <c r="F221" s="23">
        <v>7</v>
      </c>
      <c r="G221" s="23">
        <v>0</v>
      </c>
      <c r="H221" s="23">
        <v>9</v>
      </c>
      <c r="I221" s="23">
        <v>17</v>
      </c>
      <c r="J221" s="23">
        <v>10</v>
      </c>
      <c r="K221" s="23">
        <v>12</v>
      </c>
      <c r="L221" s="23">
        <v>6</v>
      </c>
      <c r="M221" s="23">
        <v>11</v>
      </c>
      <c r="N221" s="23">
        <v>12</v>
      </c>
      <c r="O221" s="23">
        <v>12</v>
      </c>
      <c r="P221" s="28">
        <v>9</v>
      </c>
    </row>
    <row r="222" spans="1:16" x14ac:dyDescent="0.25">
      <c r="A222" s="27">
        <v>44777</v>
      </c>
      <c r="B222" s="23">
        <v>84</v>
      </c>
      <c r="C222" s="23">
        <v>73</v>
      </c>
      <c r="D222" s="23">
        <v>70</v>
      </c>
      <c r="E222" s="23">
        <v>3</v>
      </c>
      <c r="F222" s="23">
        <v>9</v>
      </c>
      <c r="G222" s="23">
        <v>2</v>
      </c>
      <c r="H222" s="23">
        <v>5</v>
      </c>
      <c r="I222" s="23">
        <v>12</v>
      </c>
      <c r="J222" s="23">
        <v>7</v>
      </c>
      <c r="K222" s="23">
        <v>5</v>
      </c>
      <c r="L222" s="23">
        <v>12</v>
      </c>
      <c r="M222" s="23">
        <v>11</v>
      </c>
      <c r="N222" s="23">
        <v>6</v>
      </c>
      <c r="O222" s="23">
        <v>8</v>
      </c>
      <c r="P222" s="28">
        <v>4</v>
      </c>
    </row>
    <row r="223" spans="1:16" x14ac:dyDescent="0.25">
      <c r="A223" s="27">
        <v>44778</v>
      </c>
      <c r="B223" s="23">
        <v>87</v>
      </c>
      <c r="C223" s="23">
        <v>76</v>
      </c>
      <c r="D223" s="23">
        <v>69</v>
      </c>
      <c r="E223" s="23">
        <v>7</v>
      </c>
      <c r="F223" s="23">
        <v>10</v>
      </c>
      <c r="G223" s="23">
        <v>1</v>
      </c>
      <c r="H223" s="23">
        <v>6</v>
      </c>
      <c r="I223" s="23">
        <v>7</v>
      </c>
      <c r="J223" s="23">
        <v>7</v>
      </c>
      <c r="K223" s="23">
        <v>8</v>
      </c>
      <c r="L223" s="23">
        <v>7</v>
      </c>
      <c r="M223" s="23">
        <v>8</v>
      </c>
      <c r="N223" s="23">
        <v>4</v>
      </c>
      <c r="O223" s="23">
        <v>15</v>
      </c>
      <c r="P223" s="28">
        <v>7</v>
      </c>
    </row>
    <row r="224" spans="1:16" x14ac:dyDescent="0.25">
      <c r="A224" s="27">
        <v>44779</v>
      </c>
      <c r="B224" s="23">
        <v>66</v>
      </c>
      <c r="C224" s="23">
        <v>59</v>
      </c>
      <c r="D224" s="23">
        <v>56</v>
      </c>
      <c r="E224" s="23">
        <v>2</v>
      </c>
      <c r="F224" s="23">
        <v>7</v>
      </c>
      <c r="G224" s="23">
        <v>0</v>
      </c>
      <c r="H224" s="23">
        <v>2</v>
      </c>
      <c r="I224" s="23">
        <v>8</v>
      </c>
      <c r="J224" s="23">
        <v>6</v>
      </c>
      <c r="K224" s="23">
        <v>5</v>
      </c>
      <c r="L224" s="23">
        <v>8</v>
      </c>
      <c r="M224" s="23">
        <v>2</v>
      </c>
      <c r="N224" s="23">
        <v>8</v>
      </c>
      <c r="O224" s="23">
        <v>12</v>
      </c>
      <c r="P224" s="28">
        <v>5</v>
      </c>
    </row>
    <row r="225" spans="1:16" x14ac:dyDescent="0.25">
      <c r="A225" s="27">
        <v>44780</v>
      </c>
      <c r="B225" s="23">
        <v>100</v>
      </c>
      <c r="C225" s="23">
        <v>92</v>
      </c>
      <c r="D225" s="23">
        <v>87</v>
      </c>
      <c r="E225" s="23">
        <v>5</v>
      </c>
      <c r="F225" s="23">
        <v>8</v>
      </c>
      <c r="G225" s="23">
        <v>0</v>
      </c>
      <c r="H225" s="23">
        <v>4</v>
      </c>
      <c r="I225" s="23">
        <v>21</v>
      </c>
      <c r="J225" s="23">
        <v>9</v>
      </c>
      <c r="K225" s="23">
        <v>8</v>
      </c>
      <c r="L225" s="23">
        <v>8</v>
      </c>
      <c r="M225" s="23">
        <v>9</v>
      </c>
      <c r="N225" s="23">
        <v>12</v>
      </c>
      <c r="O225" s="23">
        <v>9</v>
      </c>
      <c r="P225" s="28">
        <v>7</v>
      </c>
    </row>
    <row r="226" spans="1:16" x14ac:dyDescent="0.25">
      <c r="A226" s="27">
        <v>44781</v>
      </c>
      <c r="B226" s="23">
        <v>100</v>
      </c>
      <c r="C226" s="23">
        <v>83</v>
      </c>
      <c r="D226" s="23">
        <v>81</v>
      </c>
      <c r="E226" s="23">
        <v>2</v>
      </c>
      <c r="F226" s="23">
        <v>15</v>
      </c>
      <c r="G226" s="23">
        <v>2</v>
      </c>
      <c r="H226" s="23">
        <v>6</v>
      </c>
      <c r="I226" s="23">
        <v>10</v>
      </c>
      <c r="J226" s="23">
        <v>6</v>
      </c>
      <c r="K226" s="23">
        <v>8</v>
      </c>
      <c r="L226" s="23">
        <v>6</v>
      </c>
      <c r="M226" s="23">
        <v>9</v>
      </c>
      <c r="N226" s="23">
        <v>14</v>
      </c>
      <c r="O226" s="23">
        <v>13</v>
      </c>
      <c r="P226" s="28">
        <v>9</v>
      </c>
    </row>
    <row r="227" spans="1:16" x14ac:dyDescent="0.25">
      <c r="A227" s="27">
        <v>44782</v>
      </c>
      <c r="B227" s="23">
        <v>90</v>
      </c>
      <c r="C227" s="23">
        <v>78</v>
      </c>
      <c r="D227" s="23">
        <v>75</v>
      </c>
      <c r="E227" s="23">
        <v>3</v>
      </c>
      <c r="F227" s="23">
        <v>10</v>
      </c>
      <c r="G227" s="23">
        <v>2</v>
      </c>
      <c r="H227" s="23">
        <v>2</v>
      </c>
      <c r="I227" s="23">
        <v>14</v>
      </c>
      <c r="J227" s="23">
        <v>8</v>
      </c>
      <c r="K227" s="23">
        <v>3</v>
      </c>
      <c r="L227" s="23">
        <v>8</v>
      </c>
      <c r="M227" s="23">
        <v>12</v>
      </c>
      <c r="N227" s="23">
        <v>8</v>
      </c>
      <c r="O227" s="23">
        <v>10</v>
      </c>
      <c r="P227" s="28">
        <v>10</v>
      </c>
    </row>
    <row r="228" spans="1:16" x14ac:dyDescent="0.25">
      <c r="A228" s="27">
        <v>44783</v>
      </c>
      <c r="B228" s="23">
        <v>77</v>
      </c>
      <c r="C228" s="23">
        <v>70</v>
      </c>
      <c r="D228" s="23">
        <v>63</v>
      </c>
      <c r="E228" s="23">
        <v>6</v>
      </c>
      <c r="F228" s="23">
        <v>4</v>
      </c>
      <c r="G228" s="23">
        <v>3</v>
      </c>
      <c r="H228" s="23">
        <v>6</v>
      </c>
      <c r="I228" s="23">
        <v>12</v>
      </c>
      <c r="J228" s="23">
        <v>6</v>
      </c>
      <c r="K228" s="23">
        <v>7</v>
      </c>
      <c r="L228" s="23">
        <v>8</v>
      </c>
      <c r="M228" s="23">
        <v>5</v>
      </c>
      <c r="N228" s="23">
        <v>6</v>
      </c>
      <c r="O228" s="23">
        <v>9</v>
      </c>
      <c r="P228" s="28">
        <v>4</v>
      </c>
    </row>
    <row r="229" spans="1:16" x14ac:dyDescent="0.25">
      <c r="A229" s="27">
        <v>44784</v>
      </c>
      <c r="B229" s="23">
        <v>99</v>
      </c>
      <c r="C229" s="23">
        <v>89</v>
      </c>
      <c r="D229" s="23">
        <v>86</v>
      </c>
      <c r="E229" s="23">
        <v>2</v>
      </c>
      <c r="F229" s="23">
        <v>9</v>
      </c>
      <c r="G229" s="23">
        <v>1</v>
      </c>
      <c r="H229" s="23">
        <v>3</v>
      </c>
      <c r="I229" s="23">
        <v>13</v>
      </c>
      <c r="J229" s="23">
        <v>18</v>
      </c>
      <c r="K229" s="23">
        <v>12</v>
      </c>
      <c r="L229" s="23">
        <v>6</v>
      </c>
      <c r="M229" s="23">
        <v>9</v>
      </c>
      <c r="N229" s="23">
        <v>12</v>
      </c>
      <c r="O229" s="23">
        <v>8</v>
      </c>
      <c r="P229" s="28">
        <v>5</v>
      </c>
    </row>
    <row r="230" spans="1:16" x14ac:dyDescent="0.25">
      <c r="A230" s="27">
        <v>44785</v>
      </c>
      <c r="B230" s="23">
        <v>108</v>
      </c>
      <c r="C230" s="23">
        <v>101</v>
      </c>
      <c r="D230" s="23">
        <v>96</v>
      </c>
      <c r="E230" s="23">
        <v>4</v>
      </c>
      <c r="F230" s="23">
        <v>7</v>
      </c>
      <c r="G230" s="23">
        <v>0</v>
      </c>
      <c r="H230" s="23">
        <v>5</v>
      </c>
      <c r="I230" s="23">
        <v>13</v>
      </c>
      <c r="J230" s="23">
        <v>10</v>
      </c>
      <c r="K230" s="23">
        <v>5</v>
      </c>
      <c r="L230" s="23">
        <v>15</v>
      </c>
      <c r="M230" s="23">
        <v>10</v>
      </c>
      <c r="N230" s="23">
        <v>11</v>
      </c>
      <c r="O230" s="23">
        <v>15</v>
      </c>
      <c r="P230" s="28">
        <v>12</v>
      </c>
    </row>
    <row r="231" spans="1:16" x14ac:dyDescent="0.25">
      <c r="A231" s="27">
        <v>44786</v>
      </c>
      <c r="B231" s="23">
        <v>92</v>
      </c>
      <c r="C231" s="23">
        <v>85</v>
      </c>
      <c r="D231" s="23">
        <v>77</v>
      </c>
      <c r="E231" s="23">
        <v>8</v>
      </c>
      <c r="F231" s="23">
        <v>3</v>
      </c>
      <c r="G231" s="23">
        <v>4</v>
      </c>
      <c r="H231" s="23">
        <v>2</v>
      </c>
      <c r="I231" s="23">
        <v>16</v>
      </c>
      <c r="J231" s="23">
        <v>2</v>
      </c>
      <c r="K231" s="23">
        <v>7</v>
      </c>
      <c r="L231" s="23">
        <v>13</v>
      </c>
      <c r="M231" s="23">
        <v>5</v>
      </c>
      <c r="N231" s="23">
        <v>12</v>
      </c>
      <c r="O231" s="23">
        <v>13</v>
      </c>
      <c r="P231" s="28">
        <v>7</v>
      </c>
    </row>
    <row r="232" spans="1:16" x14ac:dyDescent="0.25">
      <c r="A232" s="27">
        <v>44787</v>
      </c>
      <c r="B232" s="23">
        <v>90</v>
      </c>
      <c r="C232" s="23">
        <v>74</v>
      </c>
      <c r="D232" s="23">
        <v>68</v>
      </c>
      <c r="E232" s="23">
        <v>6</v>
      </c>
      <c r="F232" s="23">
        <v>12</v>
      </c>
      <c r="G232" s="23">
        <v>4</v>
      </c>
      <c r="H232" s="23">
        <v>7</v>
      </c>
      <c r="I232" s="23">
        <v>8</v>
      </c>
      <c r="J232" s="23">
        <v>3</v>
      </c>
      <c r="K232" s="23">
        <v>10</v>
      </c>
      <c r="L232" s="23">
        <v>10</v>
      </c>
      <c r="M232" s="23">
        <v>7</v>
      </c>
      <c r="N232" s="23">
        <v>6</v>
      </c>
      <c r="O232" s="23">
        <v>11</v>
      </c>
      <c r="P232" s="28">
        <v>6</v>
      </c>
    </row>
    <row r="233" spans="1:16" x14ac:dyDescent="0.25">
      <c r="A233" s="27">
        <v>44788</v>
      </c>
      <c r="B233" s="23">
        <v>88</v>
      </c>
      <c r="C233" s="23">
        <v>77</v>
      </c>
      <c r="D233" s="23">
        <v>69</v>
      </c>
      <c r="E233" s="23">
        <v>8</v>
      </c>
      <c r="F233" s="23">
        <v>10</v>
      </c>
      <c r="G233" s="23">
        <v>1</v>
      </c>
      <c r="H233" s="23">
        <v>1</v>
      </c>
      <c r="I233" s="23">
        <v>9</v>
      </c>
      <c r="J233" s="23">
        <v>11</v>
      </c>
      <c r="K233" s="23">
        <v>6</v>
      </c>
      <c r="L233" s="23">
        <v>15</v>
      </c>
      <c r="M233" s="23">
        <v>9</v>
      </c>
      <c r="N233" s="23">
        <v>5</v>
      </c>
      <c r="O233" s="23">
        <v>8</v>
      </c>
      <c r="P233" s="28">
        <v>5</v>
      </c>
    </row>
    <row r="234" spans="1:16" x14ac:dyDescent="0.25">
      <c r="A234" s="27">
        <v>44789</v>
      </c>
      <c r="B234" s="23">
        <v>71</v>
      </c>
      <c r="C234" s="23">
        <v>67</v>
      </c>
      <c r="D234" s="23">
        <v>61</v>
      </c>
      <c r="E234" s="23">
        <v>6</v>
      </c>
      <c r="F234" s="23">
        <v>4</v>
      </c>
      <c r="G234" s="23">
        <v>0</v>
      </c>
      <c r="H234" s="23">
        <v>2</v>
      </c>
      <c r="I234" s="23">
        <v>12</v>
      </c>
      <c r="J234" s="23">
        <v>6</v>
      </c>
      <c r="K234" s="23">
        <v>9</v>
      </c>
      <c r="L234" s="23">
        <v>11</v>
      </c>
      <c r="M234" s="23">
        <v>3</v>
      </c>
      <c r="N234" s="23">
        <v>8</v>
      </c>
      <c r="O234" s="23">
        <v>9</v>
      </c>
      <c r="P234" s="28">
        <v>1</v>
      </c>
    </row>
    <row r="235" spans="1:16" x14ac:dyDescent="0.25">
      <c r="A235" s="27">
        <v>44790</v>
      </c>
      <c r="B235" s="23">
        <v>56</v>
      </c>
      <c r="C235" s="23">
        <v>50</v>
      </c>
      <c r="D235" s="23">
        <v>50</v>
      </c>
      <c r="E235" s="23">
        <v>0</v>
      </c>
      <c r="F235" s="23">
        <v>6</v>
      </c>
      <c r="G235" s="23">
        <v>0</v>
      </c>
      <c r="H235" s="23">
        <v>7</v>
      </c>
      <c r="I235" s="23">
        <v>4</v>
      </c>
      <c r="J235" s="23">
        <v>5</v>
      </c>
      <c r="K235" s="23">
        <v>7</v>
      </c>
      <c r="L235" s="23">
        <v>3</v>
      </c>
      <c r="M235" s="23">
        <v>5</v>
      </c>
      <c r="N235" s="23">
        <v>6</v>
      </c>
      <c r="O235" s="23">
        <v>9</v>
      </c>
      <c r="P235" s="28">
        <v>4</v>
      </c>
    </row>
    <row r="236" spans="1:16" x14ac:dyDescent="0.25">
      <c r="A236" s="27">
        <v>44791</v>
      </c>
      <c r="B236" s="23">
        <v>63</v>
      </c>
      <c r="C236" s="23">
        <v>57</v>
      </c>
      <c r="D236" s="23">
        <v>52</v>
      </c>
      <c r="E236" s="23">
        <v>5</v>
      </c>
      <c r="F236" s="23">
        <v>5</v>
      </c>
      <c r="G236" s="23">
        <v>1</v>
      </c>
      <c r="H236" s="23">
        <v>5</v>
      </c>
      <c r="I236" s="23">
        <v>6</v>
      </c>
      <c r="J236" s="23">
        <v>6</v>
      </c>
      <c r="K236" s="23">
        <v>8</v>
      </c>
      <c r="L236" s="23">
        <v>4</v>
      </c>
      <c r="M236" s="23">
        <v>9</v>
      </c>
      <c r="N236" s="23">
        <v>5</v>
      </c>
      <c r="O236" s="23">
        <v>9</v>
      </c>
      <c r="P236" s="28">
        <v>0</v>
      </c>
    </row>
    <row r="237" spans="1:16" x14ac:dyDescent="0.25">
      <c r="A237" s="27">
        <v>44792</v>
      </c>
      <c r="B237" s="23">
        <v>69</v>
      </c>
      <c r="C237" s="23">
        <v>59</v>
      </c>
      <c r="D237" s="23">
        <v>53</v>
      </c>
      <c r="E237" s="23">
        <v>6</v>
      </c>
      <c r="F237" s="23">
        <v>10</v>
      </c>
      <c r="G237" s="23">
        <v>0</v>
      </c>
      <c r="H237" s="23">
        <v>1</v>
      </c>
      <c r="I237" s="23">
        <v>3</v>
      </c>
      <c r="J237" s="23">
        <v>3</v>
      </c>
      <c r="K237" s="23">
        <v>6</v>
      </c>
      <c r="L237" s="23">
        <v>5</v>
      </c>
      <c r="M237" s="23">
        <v>9</v>
      </c>
      <c r="N237" s="23">
        <v>8</v>
      </c>
      <c r="O237" s="23">
        <v>10</v>
      </c>
      <c r="P237" s="28">
        <v>8</v>
      </c>
    </row>
    <row r="238" spans="1:16" x14ac:dyDescent="0.25">
      <c r="A238" s="27">
        <v>44793</v>
      </c>
      <c r="B238" s="23">
        <v>76</v>
      </c>
      <c r="C238" s="23">
        <v>70</v>
      </c>
      <c r="D238" s="23">
        <v>66</v>
      </c>
      <c r="E238" s="23">
        <v>4</v>
      </c>
      <c r="F238" s="23">
        <v>5</v>
      </c>
      <c r="G238" s="23">
        <v>1</v>
      </c>
      <c r="H238" s="23">
        <v>2</v>
      </c>
      <c r="I238" s="23">
        <v>12</v>
      </c>
      <c r="J238" s="23">
        <v>4</v>
      </c>
      <c r="K238" s="23">
        <v>4</v>
      </c>
      <c r="L238" s="23">
        <v>7</v>
      </c>
      <c r="M238" s="23">
        <v>9</v>
      </c>
      <c r="N238" s="23">
        <v>8</v>
      </c>
      <c r="O238" s="23">
        <v>14</v>
      </c>
      <c r="P238" s="28">
        <v>6</v>
      </c>
    </row>
    <row r="239" spans="1:16" x14ac:dyDescent="0.25">
      <c r="A239" s="27">
        <v>44794</v>
      </c>
      <c r="B239" s="23">
        <v>61</v>
      </c>
      <c r="C239" s="23">
        <v>54</v>
      </c>
      <c r="D239" s="23">
        <v>50</v>
      </c>
      <c r="E239" s="23">
        <v>4</v>
      </c>
      <c r="F239" s="23">
        <v>6</v>
      </c>
      <c r="G239" s="23">
        <v>1</v>
      </c>
      <c r="H239" s="23">
        <v>4</v>
      </c>
      <c r="I239" s="23">
        <v>5</v>
      </c>
      <c r="J239" s="23">
        <v>2</v>
      </c>
      <c r="K239" s="23">
        <v>6</v>
      </c>
      <c r="L239" s="23">
        <v>6</v>
      </c>
      <c r="M239" s="23">
        <v>7</v>
      </c>
      <c r="N239" s="23">
        <v>6</v>
      </c>
      <c r="O239" s="23">
        <v>6</v>
      </c>
      <c r="P239" s="28">
        <v>8</v>
      </c>
    </row>
    <row r="240" spans="1:16" x14ac:dyDescent="0.25">
      <c r="A240" s="27">
        <v>44795</v>
      </c>
      <c r="B240" s="23">
        <v>65</v>
      </c>
      <c r="C240" s="23">
        <v>59</v>
      </c>
      <c r="D240" s="23">
        <v>57</v>
      </c>
      <c r="E240" s="23">
        <v>2</v>
      </c>
      <c r="F240" s="23">
        <v>4</v>
      </c>
      <c r="G240" s="23">
        <v>2</v>
      </c>
      <c r="H240" s="23">
        <v>2</v>
      </c>
      <c r="I240" s="23">
        <v>12</v>
      </c>
      <c r="J240" s="23">
        <v>4</v>
      </c>
      <c r="K240" s="23">
        <v>7</v>
      </c>
      <c r="L240" s="23">
        <v>7</v>
      </c>
      <c r="M240" s="23">
        <v>3</v>
      </c>
      <c r="N240" s="23">
        <v>5</v>
      </c>
      <c r="O240" s="23">
        <v>11</v>
      </c>
      <c r="P240" s="28">
        <v>6</v>
      </c>
    </row>
    <row r="241" spans="1:16" x14ac:dyDescent="0.25">
      <c r="A241" s="27">
        <v>44796</v>
      </c>
      <c r="B241" s="23">
        <v>78</v>
      </c>
      <c r="C241" s="23">
        <v>69</v>
      </c>
      <c r="D241" s="23">
        <v>64</v>
      </c>
      <c r="E241" s="23">
        <v>5</v>
      </c>
      <c r="F241" s="23">
        <v>5</v>
      </c>
      <c r="G241" s="23">
        <v>4</v>
      </c>
      <c r="H241" s="23">
        <v>7</v>
      </c>
      <c r="I241" s="23">
        <v>8</v>
      </c>
      <c r="J241" s="23">
        <v>8</v>
      </c>
      <c r="K241" s="23">
        <v>7</v>
      </c>
      <c r="L241" s="23">
        <v>9</v>
      </c>
      <c r="M241" s="23">
        <v>7</v>
      </c>
      <c r="N241" s="23">
        <v>6</v>
      </c>
      <c r="O241" s="23">
        <v>6</v>
      </c>
      <c r="P241" s="28">
        <v>6</v>
      </c>
    </row>
    <row r="242" spans="1:16" x14ac:dyDescent="0.25">
      <c r="A242" s="27">
        <v>44797</v>
      </c>
      <c r="B242" s="23">
        <v>53</v>
      </c>
      <c r="C242" s="23">
        <v>46</v>
      </c>
      <c r="D242" s="23">
        <v>41</v>
      </c>
      <c r="E242" s="23">
        <v>4</v>
      </c>
      <c r="F242" s="23">
        <v>7</v>
      </c>
      <c r="G242" s="23">
        <v>0</v>
      </c>
      <c r="H242" s="23">
        <v>1</v>
      </c>
      <c r="I242" s="23">
        <v>7</v>
      </c>
      <c r="J242" s="23">
        <v>5</v>
      </c>
      <c r="K242" s="23">
        <v>4</v>
      </c>
      <c r="L242" s="23">
        <v>5</v>
      </c>
      <c r="M242" s="23">
        <v>5</v>
      </c>
      <c r="N242" s="23">
        <v>4</v>
      </c>
      <c r="O242" s="23">
        <v>6</v>
      </c>
      <c r="P242" s="28">
        <v>4</v>
      </c>
    </row>
    <row r="243" spans="1:16" x14ac:dyDescent="0.25">
      <c r="A243" s="27">
        <v>44798</v>
      </c>
      <c r="B243" s="23">
        <v>50</v>
      </c>
      <c r="C243" s="23">
        <v>45</v>
      </c>
      <c r="D243" s="23">
        <v>41</v>
      </c>
      <c r="E243" s="23">
        <v>3</v>
      </c>
      <c r="F243" s="23">
        <v>4</v>
      </c>
      <c r="G243" s="23">
        <v>1</v>
      </c>
      <c r="H243" s="23">
        <v>1</v>
      </c>
      <c r="I243" s="23">
        <v>5</v>
      </c>
      <c r="J243" s="23">
        <v>6</v>
      </c>
      <c r="K243" s="23">
        <v>7</v>
      </c>
      <c r="L243" s="23">
        <v>2</v>
      </c>
      <c r="M243" s="23">
        <v>5</v>
      </c>
      <c r="N243" s="23">
        <v>5</v>
      </c>
      <c r="O243" s="23">
        <v>4</v>
      </c>
      <c r="P243" s="28">
        <v>6</v>
      </c>
    </row>
    <row r="244" spans="1:16" x14ac:dyDescent="0.25">
      <c r="A244" s="27">
        <v>44799</v>
      </c>
      <c r="B244" s="23">
        <v>43</v>
      </c>
      <c r="C244" s="23">
        <v>35</v>
      </c>
      <c r="D244" s="23">
        <v>33</v>
      </c>
      <c r="E244" s="23">
        <v>2</v>
      </c>
      <c r="F244" s="23">
        <v>6</v>
      </c>
      <c r="G244" s="23">
        <v>2</v>
      </c>
      <c r="H244" s="23">
        <v>2</v>
      </c>
      <c r="I244" s="23">
        <v>3</v>
      </c>
      <c r="J244" s="23">
        <v>2</v>
      </c>
      <c r="K244" s="23">
        <v>3</v>
      </c>
      <c r="L244" s="23">
        <v>6</v>
      </c>
      <c r="M244" s="23">
        <v>3</v>
      </c>
      <c r="N244" s="23">
        <v>5</v>
      </c>
      <c r="O244" s="23">
        <v>5</v>
      </c>
      <c r="P244" s="28">
        <v>4</v>
      </c>
    </row>
    <row r="245" spans="1:16" x14ac:dyDescent="0.25">
      <c r="A245" s="27">
        <v>44800</v>
      </c>
      <c r="B245" s="23">
        <v>57</v>
      </c>
      <c r="C245" s="23">
        <v>54</v>
      </c>
      <c r="D245" s="23">
        <v>52</v>
      </c>
      <c r="E245" s="23">
        <v>2</v>
      </c>
      <c r="F245" s="23">
        <v>3</v>
      </c>
      <c r="G245" s="23">
        <v>0</v>
      </c>
      <c r="H245" s="23">
        <v>3</v>
      </c>
      <c r="I245" s="23">
        <v>4</v>
      </c>
      <c r="J245" s="23">
        <v>7</v>
      </c>
      <c r="K245" s="23">
        <v>8</v>
      </c>
      <c r="L245" s="23">
        <v>7</v>
      </c>
      <c r="M245" s="23">
        <v>5</v>
      </c>
      <c r="N245" s="23">
        <v>5</v>
      </c>
      <c r="O245" s="23">
        <v>8</v>
      </c>
      <c r="P245" s="28">
        <v>5</v>
      </c>
    </row>
    <row r="246" spans="1:16" x14ac:dyDescent="0.25">
      <c r="A246" s="27">
        <v>44801</v>
      </c>
      <c r="B246" s="23">
        <v>61</v>
      </c>
      <c r="C246" s="23">
        <v>55</v>
      </c>
      <c r="D246" s="23">
        <v>54</v>
      </c>
      <c r="E246" s="23">
        <v>1</v>
      </c>
      <c r="F246" s="23">
        <v>6</v>
      </c>
      <c r="G246" s="23">
        <v>0</v>
      </c>
      <c r="H246" s="23">
        <v>4</v>
      </c>
      <c r="I246" s="23">
        <v>7</v>
      </c>
      <c r="J246" s="23">
        <v>2</v>
      </c>
      <c r="K246" s="23">
        <v>6</v>
      </c>
      <c r="L246" s="23">
        <v>4</v>
      </c>
      <c r="M246" s="23">
        <v>8</v>
      </c>
      <c r="N246" s="23">
        <v>3</v>
      </c>
      <c r="O246" s="23">
        <v>11</v>
      </c>
      <c r="P246" s="28">
        <v>9</v>
      </c>
    </row>
    <row r="247" spans="1:16" x14ac:dyDescent="0.25">
      <c r="A247" s="27">
        <v>44802</v>
      </c>
      <c r="B247" s="23">
        <v>54</v>
      </c>
      <c r="C247" s="23">
        <v>49</v>
      </c>
      <c r="D247" s="23">
        <v>44</v>
      </c>
      <c r="E247" s="23">
        <v>5</v>
      </c>
      <c r="F247" s="23">
        <v>3</v>
      </c>
      <c r="G247" s="23">
        <v>2</v>
      </c>
      <c r="H247" s="23">
        <v>3</v>
      </c>
      <c r="I247" s="23">
        <v>3</v>
      </c>
      <c r="J247" s="23">
        <v>6</v>
      </c>
      <c r="K247" s="23">
        <v>5</v>
      </c>
      <c r="L247" s="23">
        <v>3</v>
      </c>
      <c r="M247" s="23">
        <v>3</v>
      </c>
      <c r="N247" s="23">
        <v>8</v>
      </c>
      <c r="O247" s="23">
        <v>7</v>
      </c>
      <c r="P247" s="28">
        <v>6</v>
      </c>
    </row>
    <row r="248" spans="1:16" x14ac:dyDescent="0.25">
      <c r="A248" s="27">
        <v>44803</v>
      </c>
      <c r="B248" s="23">
        <v>44</v>
      </c>
      <c r="C248" s="23">
        <v>40</v>
      </c>
      <c r="D248" s="23">
        <v>35</v>
      </c>
      <c r="E248" s="23">
        <v>4</v>
      </c>
      <c r="F248" s="23">
        <v>3</v>
      </c>
      <c r="G248" s="23">
        <v>1</v>
      </c>
      <c r="H248" s="23">
        <v>1</v>
      </c>
      <c r="I248" s="23">
        <v>5</v>
      </c>
      <c r="J248" s="23">
        <v>1</v>
      </c>
      <c r="K248" s="23">
        <v>4</v>
      </c>
      <c r="L248" s="23">
        <v>9</v>
      </c>
      <c r="M248" s="23">
        <v>6</v>
      </c>
      <c r="N248" s="23">
        <v>4</v>
      </c>
      <c r="O248" s="23">
        <v>2</v>
      </c>
      <c r="P248" s="28">
        <v>3</v>
      </c>
    </row>
    <row r="249" spans="1:16" x14ac:dyDescent="0.25">
      <c r="A249" s="27">
        <v>44804</v>
      </c>
      <c r="B249" s="23">
        <v>75</v>
      </c>
      <c r="C249" s="23">
        <v>61</v>
      </c>
      <c r="D249" s="23">
        <v>57</v>
      </c>
      <c r="E249" s="23">
        <v>4</v>
      </c>
      <c r="F249" s="23">
        <v>11</v>
      </c>
      <c r="G249" s="23">
        <v>3</v>
      </c>
      <c r="H249" s="23">
        <v>4</v>
      </c>
      <c r="I249" s="23">
        <v>7</v>
      </c>
      <c r="J249" s="23">
        <v>6</v>
      </c>
      <c r="K249" s="23">
        <v>8</v>
      </c>
      <c r="L249" s="23">
        <v>7</v>
      </c>
      <c r="M249" s="23">
        <v>4</v>
      </c>
      <c r="N249" s="23">
        <v>6</v>
      </c>
      <c r="O249" s="23">
        <v>10</v>
      </c>
      <c r="P249" s="28">
        <v>5</v>
      </c>
    </row>
    <row r="250" spans="1:16" x14ac:dyDescent="0.25">
      <c r="A250" s="27">
        <v>44805</v>
      </c>
      <c r="B250" s="23">
        <v>44</v>
      </c>
      <c r="C250" s="23">
        <v>36</v>
      </c>
      <c r="D250" s="23">
        <v>35</v>
      </c>
      <c r="E250" s="23">
        <v>1</v>
      </c>
      <c r="F250" s="23">
        <v>8</v>
      </c>
      <c r="G250" s="23">
        <v>0</v>
      </c>
      <c r="H250" s="23">
        <v>3</v>
      </c>
      <c r="I250" s="23">
        <v>3</v>
      </c>
      <c r="J250" s="23">
        <v>1</v>
      </c>
      <c r="K250" s="23">
        <v>6</v>
      </c>
      <c r="L250" s="23">
        <v>5</v>
      </c>
      <c r="M250" s="23">
        <v>5</v>
      </c>
      <c r="N250" s="23">
        <v>6</v>
      </c>
      <c r="O250" s="23">
        <v>4</v>
      </c>
      <c r="P250" s="28">
        <v>2</v>
      </c>
    </row>
    <row r="251" spans="1:16" x14ac:dyDescent="0.25">
      <c r="A251" s="27">
        <v>44806</v>
      </c>
      <c r="B251" s="23">
        <v>48</v>
      </c>
      <c r="C251" s="23">
        <v>43</v>
      </c>
      <c r="D251" s="23">
        <v>42</v>
      </c>
      <c r="E251" s="23">
        <v>1</v>
      </c>
      <c r="F251" s="23">
        <v>5</v>
      </c>
      <c r="G251" s="23">
        <v>0</v>
      </c>
      <c r="H251" s="23">
        <v>2</v>
      </c>
      <c r="I251" s="23">
        <v>5</v>
      </c>
      <c r="J251" s="23">
        <v>3</v>
      </c>
      <c r="K251" s="23">
        <v>3</v>
      </c>
      <c r="L251" s="23">
        <v>5</v>
      </c>
      <c r="M251" s="23">
        <v>11</v>
      </c>
      <c r="N251" s="23">
        <v>3</v>
      </c>
      <c r="O251" s="23">
        <v>5</v>
      </c>
      <c r="P251" s="28">
        <v>5</v>
      </c>
    </row>
    <row r="252" spans="1:16" x14ac:dyDescent="0.25">
      <c r="A252" s="27">
        <v>44807</v>
      </c>
      <c r="B252" s="23">
        <v>54</v>
      </c>
      <c r="C252" s="23">
        <v>44</v>
      </c>
      <c r="D252" s="23">
        <v>40</v>
      </c>
      <c r="E252" s="23">
        <v>4</v>
      </c>
      <c r="F252" s="23">
        <v>8</v>
      </c>
      <c r="G252" s="23">
        <v>2</v>
      </c>
      <c r="H252" s="23">
        <v>0</v>
      </c>
      <c r="I252" s="23">
        <v>8</v>
      </c>
      <c r="J252" s="23">
        <v>6</v>
      </c>
      <c r="K252" s="23">
        <v>4</v>
      </c>
      <c r="L252" s="23">
        <v>9</v>
      </c>
      <c r="M252" s="23">
        <v>5</v>
      </c>
      <c r="N252" s="23">
        <v>0</v>
      </c>
      <c r="O252" s="23">
        <v>6</v>
      </c>
      <c r="P252" s="28">
        <v>2</v>
      </c>
    </row>
    <row r="253" spans="1:16" x14ac:dyDescent="0.25">
      <c r="A253" s="27">
        <v>44808</v>
      </c>
      <c r="B253" s="23">
        <v>46</v>
      </c>
      <c r="C253" s="23">
        <v>41</v>
      </c>
      <c r="D253" s="23">
        <v>36</v>
      </c>
      <c r="E253" s="23">
        <v>4</v>
      </c>
      <c r="F253" s="23">
        <v>4</v>
      </c>
      <c r="G253" s="23">
        <v>1</v>
      </c>
      <c r="H253" s="23">
        <v>1</v>
      </c>
      <c r="I253" s="23">
        <v>7</v>
      </c>
      <c r="J253" s="23">
        <v>4</v>
      </c>
      <c r="K253" s="23">
        <v>4</v>
      </c>
      <c r="L253" s="23">
        <v>3</v>
      </c>
      <c r="M253" s="23">
        <v>5</v>
      </c>
      <c r="N253" s="23">
        <v>4</v>
      </c>
      <c r="O253" s="23">
        <v>7</v>
      </c>
      <c r="P253" s="28">
        <v>1</v>
      </c>
    </row>
    <row r="254" spans="1:16" x14ac:dyDescent="0.25">
      <c r="A254" s="27">
        <v>44809</v>
      </c>
      <c r="B254" s="23">
        <v>39</v>
      </c>
      <c r="C254" s="23">
        <v>35</v>
      </c>
      <c r="D254" s="23">
        <v>31</v>
      </c>
      <c r="E254" s="23">
        <v>4</v>
      </c>
      <c r="F254" s="23">
        <v>4</v>
      </c>
      <c r="G254" s="23">
        <v>0</v>
      </c>
      <c r="H254" s="23">
        <v>0</v>
      </c>
      <c r="I254" s="23">
        <v>7</v>
      </c>
      <c r="J254" s="23">
        <v>5</v>
      </c>
      <c r="K254" s="23">
        <v>2</v>
      </c>
      <c r="L254" s="23">
        <v>4</v>
      </c>
      <c r="M254" s="23">
        <v>3</v>
      </c>
      <c r="N254" s="23">
        <v>4</v>
      </c>
      <c r="O254" s="23">
        <v>4</v>
      </c>
      <c r="P254" s="28">
        <v>2</v>
      </c>
    </row>
    <row r="255" spans="1:16" x14ac:dyDescent="0.25">
      <c r="A255" s="27">
        <v>44810</v>
      </c>
      <c r="B255" s="23">
        <v>40</v>
      </c>
      <c r="C255" s="23">
        <v>31</v>
      </c>
      <c r="D255" s="23">
        <v>28</v>
      </c>
      <c r="E255" s="23">
        <v>3</v>
      </c>
      <c r="F255" s="23">
        <v>7</v>
      </c>
      <c r="G255" s="23">
        <v>2</v>
      </c>
      <c r="H255" s="23">
        <v>0</v>
      </c>
      <c r="I255" s="23">
        <v>7</v>
      </c>
      <c r="J255" s="23">
        <v>5</v>
      </c>
      <c r="K255" s="23">
        <v>1</v>
      </c>
      <c r="L255" s="23">
        <v>4</v>
      </c>
      <c r="M255" s="23">
        <v>3</v>
      </c>
      <c r="N255" s="23">
        <v>2</v>
      </c>
      <c r="O255" s="23">
        <v>4</v>
      </c>
      <c r="P255" s="28">
        <v>2</v>
      </c>
    </row>
    <row r="256" spans="1:16" x14ac:dyDescent="0.25">
      <c r="A256" s="27">
        <v>44811</v>
      </c>
      <c r="B256" s="23">
        <v>61</v>
      </c>
      <c r="C256" s="23">
        <v>56</v>
      </c>
      <c r="D256" s="23">
        <v>49</v>
      </c>
      <c r="E256" s="23">
        <v>7</v>
      </c>
      <c r="F256" s="23">
        <v>2</v>
      </c>
      <c r="G256" s="23">
        <v>3</v>
      </c>
      <c r="H256" s="23">
        <v>0</v>
      </c>
      <c r="I256" s="23">
        <v>8</v>
      </c>
      <c r="J256" s="23">
        <v>6</v>
      </c>
      <c r="K256" s="23">
        <v>5</v>
      </c>
      <c r="L256" s="23">
        <v>4</v>
      </c>
      <c r="M256" s="23">
        <v>11</v>
      </c>
      <c r="N256" s="23">
        <v>3</v>
      </c>
      <c r="O256" s="23">
        <v>8</v>
      </c>
      <c r="P256" s="28">
        <v>4</v>
      </c>
    </row>
    <row r="257" spans="1:16" x14ac:dyDescent="0.25">
      <c r="A257" s="27">
        <v>44812</v>
      </c>
      <c r="B257" s="23">
        <v>47</v>
      </c>
      <c r="C257" s="23">
        <v>39</v>
      </c>
      <c r="D257" s="23">
        <v>38</v>
      </c>
      <c r="E257" s="23">
        <v>1</v>
      </c>
      <c r="F257" s="23">
        <v>6</v>
      </c>
      <c r="G257" s="23">
        <v>2</v>
      </c>
      <c r="H257" s="23">
        <v>5</v>
      </c>
      <c r="I257" s="23">
        <v>2</v>
      </c>
      <c r="J257" s="23">
        <v>4</v>
      </c>
      <c r="K257" s="23">
        <v>1</v>
      </c>
      <c r="L257" s="23">
        <v>2</v>
      </c>
      <c r="M257" s="23">
        <v>6</v>
      </c>
      <c r="N257" s="23">
        <v>3</v>
      </c>
      <c r="O257" s="23">
        <v>9</v>
      </c>
      <c r="P257" s="28">
        <v>6</v>
      </c>
    </row>
    <row r="258" spans="1:16" x14ac:dyDescent="0.25">
      <c r="A258" s="27">
        <v>44813</v>
      </c>
      <c r="B258" s="23">
        <v>38</v>
      </c>
      <c r="C258" s="23">
        <v>32</v>
      </c>
      <c r="D258" s="23">
        <v>30</v>
      </c>
      <c r="E258" s="23">
        <v>2</v>
      </c>
      <c r="F258" s="23">
        <v>4</v>
      </c>
      <c r="G258" s="23">
        <v>2</v>
      </c>
      <c r="H258" s="23">
        <v>1</v>
      </c>
      <c r="I258" s="23">
        <v>4</v>
      </c>
      <c r="J258" s="23">
        <v>6</v>
      </c>
      <c r="K258" s="23">
        <v>6</v>
      </c>
      <c r="L258" s="23">
        <v>3</v>
      </c>
      <c r="M258" s="23">
        <v>2</v>
      </c>
      <c r="N258" s="23">
        <v>3</v>
      </c>
      <c r="O258" s="23">
        <v>5</v>
      </c>
      <c r="P258" s="28">
        <v>0</v>
      </c>
    </row>
    <row r="259" spans="1:16" x14ac:dyDescent="0.25">
      <c r="A259" s="27">
        <v>44814</v>
      </c>
      <c r="B259" s="23">
        <v>48</v>
      </c>
      <c r="C259" s="23">
        <v>37</v>
      </c>
      <c r="D259" s="23">
        <v>35</v>
      </c>
      <c r="E259" s="23">
        <v>2</v>
      </c>
      <c r="F259" s="23">
        <v>10</v>
      </c>
      <c r="G259" s="23">
        <v>1</v>
      </c>
      <c r="H259" s="23">
        <v>1</v>
      </c>
      <c r="I259" s="23">
        <v>5</v>
      </c>
      <c r="J259" s="23">
        <v>8</v>
      </c>
      <c r="K259" s="23">
        <v>1</v>
      </c>
      <c r="L259" s="23">
        <v>6</v>
      </c>
      <c r="M259" s="23">
        <v>4</v>
      </c>
      <c r="N259" s="23">
        <v>1</v>
      </c>
      <c r="O259" s="23">
        <v>6</v>
      </c>
      <c r="P259" s="28">
        <v>3</v>
      </c>
    </row>
    <row r="260" spans="1:16" x14ac:dyDescent="0.25">
      <c r="A260" s="27">
        <v>44815</v>
      </c>
      <c r="B260" s="23">
        <v>30</v>
      </c>
      <c r="C260" s="23">
        <v>23</v>
      </c>
      <c r="D260" s="23">
        <v>18</v>
      </c>
      <c r="E260" s="23">
        <v>5</v>
      </c>
      <c r="F260" s="23">
        <v>7</v>
      </c>
      <c r="G260" s="23">
        <v>0</v>
      </c>
      <c r="H260" s="23">
        <v>1</v>
      </c>
      <c r="I260" s="23">
        <v>3</v>
      </c>
      <c r="J260" s="23">
        <v>3</v>
      </c>
      <c r="K260" s="23">
        <v>3</v>
      </c>
      <c r="L260" s="23">
        <v>1</v>
      </c>
      <c r="M260" s="23">
        <v>2</v>
      </c>
      <c r="N260" s="23">
        <v>3</v>
      </c>
      <c r="O260" s="23">
        <v>1</v>
      </c>
      <c r="P260" s="28">
        <v>1</v>
      </c>
    </row>
    <row r="261" spans="1:16" x14ac:dyDescent="0.25">
      <c r="A261" s="27">
        <v>44816</v>
      </c>
      <c r="B261" s="23">
        <v>43</v>
      </c>
      <c r="C261" s="23">
        <v>37</v>
      </c>
      <c r="D261" s="23">
        <v>33</v>
      </c>
      <c r="E261" s="23">
        <v>4</v>
      </c>
      <c r="F261" s="23">
        <v>6</v>
      </c>
      <c r="G261" s="23">
        <v>0</v>
      </c>
      <c r="H261" s="23">
        <v>1</v>
      </c>
      <c r="I261" s="23">
        <v>6</v>
      </c>
      <c r="J261" s="23">
        <v>4</v>
      </c>
      <c r="K261" s="23">
        <v>5</v>
      </c>
      <c r="L261" s="23">
        <v>4</v>
      </c>
      <c r="M261" s="23">
        <v>2</v>
      </c>
      <c r="N261" s="23">
        <v>7</v>
      </c>
      <c r="O261" s="23">
        <v>3</v>
      </c>
      <c r="P261" s="28">
        <v>1</v>
      </c>
    </row>
    <row r="262" spans="1:16" x14ac:dyDescent="0.25">
      <c r="A262" s="27">
        <v>44817</v>
      </c>
      <c r="B262" s="23">
        <v>50</v>
      </c>
      <c r="C262" s="23">
        <v>48</v>
      </c>
      <c r="D262" s="23">
        <v>47</v>
      </c>
      <c r="E262" s="23">
        <v>1</v>
      </c>
      <c r="F262" s="23">
        <v>2</v>
      </c>
      <c r="G262" s="23">
        <v>0</v>
      </c>
      <c r="H262" s="23">
        <v>0</v>
      </c>
      <c r="I262" s="23">
        <v>4</v>
      </c>
      <c r="J262" s="23">
        <v>7</v>
      </c>
      <c r="K262" s="23">
        <v>7</v>
      </c>
      <c r="L262" s="23">
        <v>7</v>
      </c>
      <c r="M262" s="23">
        <v>5</v>
      </c>
      <c r="N262" s="23">
        <v>4</v>
      </c>
      <c r="O262" s="23">
        <v>9</v>
      </c>
      <c r="P262" s="28">
        <v>4</v>
      </c>
    </row>
    <row r="263" spans="1:16" x14ac:dyDescent="0.25">
      <c r="A263" s="27">
        <v>44818</v>
      </c>
      <c r="B263" s="23">
        <v>45</v>
      </c>
      <c r="C263" s="23">
        <v>38</v>
      </c>
      <c r="D263" s="23">
        <v>38</v>
      </c>
      <c r="E263" s="23">
        <v>0</v>
      </c>
      <c r="F263" s="23">
        <v>6</v>
      </c>
      <c r="G263" s="23">
        <v>1</v>
      </c>
      <c r="H263" s="23">
        <v>3</v>
      </c>
      <c r="I263" s="23">
        <v>4</v>
      </c>
      <c r="J263" s="23">
        <v>4</v>
      </c>
      <c r="K263" s="23">
        <v>6</v>
      </c>
      <c r="L263" s="23">
        <v>5</v>
      </c>
      <c r="M263" s="23">
        <v>1</v>
      </c>
      <c r="N263" s="23">
        <v>3</v>
      </c>
      <c r="O263" s="23">
        <v>10</v>
      </c>
      <c r="P263" s="28">
        <v>2</v>
      </c>
    </row>
    <row r="264" spans="1:16" x14ac:dyDescent="0.25">
      <c r="A264" s="27">
        <v>44819</v>
      </c>
      <c r="B264" s="23">
        <v>49</v>
      </c>
      <c r="C264" s="23">
        <v>42</v>
      </c>
      <c r="D264" s="23">
        <v>40</v>
      </c>
      <c r="E264" s="23">
        <v>2</v>
      </c>
      <c r="F264" s="23">
        <v>5</v>
      </c>
      <c r="G264" s="23">
        <v>2</v>
      </c>
      <c r="H264" s="23">
        <v>1</v>
      </c>
      <c r="I264" s="23">
        <v>3</v>
      </c>
      <c r="J264" s="23">
        <v>5</v>
      </c>
      <c r="K264" s="23">
        <v>4</v>
      </c>
      <c r="L264" s="23">
        <v>8</v>
      </c>
      <c r="M264" s="23">
        <v>4</v>
      </c>
      <c r="N264" s="23">
        <v>4</v>
      </c>
      <c r="O264" s="23">
        <v>9</v>
      </c>
      <c r="P264" s="28">
        <v>2</v>
      </c>
    </row>
    <row r="265" spans="1:16" x14ac:dyDescent="0.25">
      <c r="A265" s="27">
        <v>44820</v>
      </c>
      <c r="B265" s="23">
        <v>39</v>
      </c>
      <c r="C265" s="23">
        <v>32</v>
      </c>
      <c r="D265" s="23">
        <v>30</v>
      </c>
      <c r="E265" s="23">
        <v>2</v>
      </c>
      <c r="F265" s="23">
        <v>7</v>
      </c>
      <c r="G265" s="23">
        <v>0</v>
      </c>
      <c r="H265" s="23">
        <v>3</v>
      </c>
      <c r="I265" s="23">
        <v>7</v>
      </c>
      <c r="J265" s="23">
        <v>2</v>
      </c>
      <c r="K265" s="23">
        <v>3</v>
      </c>
      <c r="L265" s="23">
        <v>1</v>
      </c>
      <c r="M265" s="23">
        <v>4</v>
      </c>
      <c r="N265" s="23">
        <v>2</v>
      </c>
      <c r="O265" s="23">
        <v>7</v>
      </c>
      <c r="P265" s="28">
        <v>1</v>
      </c>
    </row>
    <row r="266" spans="1:16" x14ac:dyDescent="0.25">
      <c r="A266" s="27">
        <v>44821</v>
      </c>
      <c r="B266" s="23">
        <v>40</v>
      </c>
      <c r="C266" s="23">
        <v>31</v>
      </c>
      <c r="D266" s="23">
        <v>31</v>
      </c>
      <c r="E266" s="23">
        <v>0</v>
      </c>
      <c r="F266" s="23">
        <v>7</v>
      </c>
      <c r="G266" s="23">
        <v>2</v>
      </c>
      <c r="H266" s="23">
        <v>0</v>
      </c>
      <c r="I266" s="23">
        <v>4</v>
      </c>
      <c r="J266" s="23">
        <v>3</v>
      </c>
      <c r="K266" s="23">
        <v>1</v>
      </c>
      <c r="L266" s="23">
        <v>13</v>
      </c>
      <c r="M266" s="23">
        <v>2</v>
      </c>
      <c r="N266" s="23">
        <v>2</v>
      </c>
      <c r="O266" s="23">
        <v>3</v>
      </c>
      <c r="P266" s="28">
        <v>3</v>
      </c>
    </row>
    <row r="267" spans="1:16" x14ac:dyDescent="0.25">
      <c r="A267" s="27">
        <v>44822</v>
      </c>
      <c r="B267" s="23">
        <v>40</v>
      </c>
      <c r="C267" s="23">
        <v>31</v>
      </c>
      <c r="D267" s="23">
        <v>30</v>
      </c>
      <c r="E267" s="23">
        <v>1</v>
      </c>
      <c r="F267" s="23">
        <v>9</v>
      </c>
      <c r="G267" s="23">
        <v>0</v>
      </c>
      <c r="H267" s="23">
        <v>1</v>
      </c>
      <c r="I267" s="23">
        <v>6</v>
      </c>
      <c r="J267" s="23">
        <v>3</v>
      </c>
      <c r="K267" s="23">
        <v>1</v>
      </c>
      <c r="L267" s="23">
        <v>3</v>
      </c>
      <c r="M267" s="23">
        <v>3</v>
      </c>
      <c r="N267" s="23">
        <v>6</v>
      </c>
      <c r="O267" s="23">
        <v>3</v>
      </c>
      <c r="P267" s="28">
        <v>4</v>
      </c>
    </row>
    <row r="268" spans="1:16" x14ac:dyDescent="0.25">
      <c r="A268" s="27">
        <v>44823</v>
      </c>
      <c r="B268" s="23">
        <v>49</v>
      </c>
      <c r="C268" s="23">
        <v>44</v>
      </c>
      <c r="D268" s="23">
        <v>41</v>
      </c>
      <c r="E268" s="23">
        <v>3</v>
      </c>
      <c r="F268" s="23">
        <v>5</v>
      </c>
      <c r="G268" s="23">
        <v>0</v>
      </c>
      <c r="H268" s="23">
        <v>1</v>
      </c>
      <c r="I268" s="23">
        <v>5</v>
      </c>
      <c r="J268" s="23">
        <v>4</v>
      </c>
      <c r="K268" s="23">
        <v>5</v>
      </c>
      <c r="L268" s="23">
        <v>5</v>
      </c>
      <c r="M268" s="23">
        <v>6</v>
      </c>
      <c r="N268" s="23">
        <v>2</v>
      </c>
      <c r="O268" s="23">
        <v>7</v>
      </c>
      <c r="P268" s="28">
        <v>6</v>
      </c>
    </row>
    <row r="269" spans="1:16" x14ac:dyDescent="0.25">
      <c r="A269" s="27">
        <v>44824</v>
      </c>
      <c r="B269" s="23">
        <v>50</v>
      </c>
      <c r="C269" s="23">
        <v>46</v>
      </c>
      <c r="D269" s="23">
        <v>44</v>
      </c>
      <c r="E269" s="23">
        <v>2</v>
      </c>
      <c r="F269" s="23">
        <v>2</v>
      </c>
      <c r="G269" s="23">
        <v>2</v>
      </c>
      <c r="H269" s="23">
        <v>4</v>
      </c>
      <c r="I269" s="23">
        <v>3</v>
      </c>
      <c r="J269" s="23">
        <v>3</v>
      </c>
      <c r="K269" s="23">
        <v>3</v>
      </c>
      <c r="L269" s="23">
        <v>13</v>
      </c>
      <c r="M269" s="23">
        <v>3</v>
      </c>
      <c r="N269" s="23">
        <v>4</v>
      </c>
      <c r="O269" s="23">
        <v>3</v>
      </c>
      <c r="P269" s="28">
        <v>8</v>
      </c>
    </row>
    <row r="270" spans="1:16" x14ac:dyDescent="0.25">
      <c r="A270" s="27">
        <v>44825</v>
      </c>
      <c r="B270" s="23">
        <v>37</v>
      </c>
      <c r="C270" s="23">
        <v>34</v>
      </c>
      <c r="D270" s="23">
        <v>30</v>
      </c>
      <c r="E270" s="23">
        <v>4</v>
      </c>
      <c r="F270" s="23">
        <v>3</v>
      </c>
      <c r="G270" s="23">
        <v>0</v>
      </c>
      <c r="H270" s="23">
        <v>0</v>
      </c>
      <c r="I270" s="23">
        <v>7</v>
      </c>
      <c r="J270" s="23">
        <v>5</v>
      </c>
      <c r="K270" s="23">
        <v>1</v>
      </c>
      <c r="L270" s="23">
        <v>3</v>
      </c>
      <c r="M270" s="23">
        <v>3</v>
      </c>
      <c r="N270" s="23">
        <v>3</v>
      </c>
      <c r="O270" s="23">
        <v>5</v>
      </c>
      <c r="P270" s="28">
        <v>3</v>
      </c>
    </row>
    <row r="271" spans="1:16" x14ac:dyDescent="0.25">
      <c r="A271" s="27">
        <v>44826</v>
      </c>
      <c r="B271" s="23">
        <v>50</v>
      </c>
      <c r="C271" s="23">
        <v>46</v>
      </c>
      <c r="D271" s="23">
        <v>45</v>
      </c>
      <c r="E271" s="23">
        <v>1</v>
      </c>
      <c r="F271" s="23">
        <v>2</v>
      </c>
      <c r="G271" s="23">
        <v>2</v>
      </c>
      <c r="H271" s="23">
        <v>2</v>
      </c>
      <c r="I271" s="23">
        <v>4</v>
      </c>
      <c r="J271" s="23">
        <v>4</v>
      </c>
      <c r="K271" s="23">
        <v>9</v>
      </c>
      <c r="L271" s="23">
        <v>5</v>
      </c>
      <c r="M271" s="23">
        <v>5</v>
      </c>
      <c r="N271" s="23">
        <v>4</v>
      </c>
      <c r="O271" s="23">
        <v>8</v>
      </c>
      <c r="P271" s="28">
        <v>4</v>
      </c>
    </row>
    <row r="272" spans="1:16" x14ac:dyDescent="0.25">
      <c r="A272" s="27">
        <v>44827</v>
      </c>
      <c r="B272" s="23">
        <v>54</v>
      </c>
      <c r="C272" s="23">
        <v>45</v>
      </c>
      <c r="D272" s="23">
        <v>43</v>
      </c>
      <c r="E272" s="23">
        <v>2</v>
      </c>
      <c r="F272" s="23">
        <v>9</v>
      </c>
      <c r="G272" s="23">
        <v>0</v>
      </c>
      <c r="H272" s="23">
        <v>2</v>
      </c>
      <c r="I272" s="23">
        <v>6</v>
      </c>
      <c r="J272" s="23">
        <v>7</v>
      </c>
      <c r="K272" s="23">
        <v>3</v>
      </c>
      <c r="L272" s="23">
        <v>6</v>
      </c>
      <c r="M272" s="23">
        <v>5</v>
      </c>
      <c r="N272" s="23">
        <v>1</v>
      </c>
      <c r="O272" s="23">
        <v>6</v>
      </c>
      <c r="P272" s="28">
        <v>7</v>
      </c>
    </row>
    <row r="273" spans="1:16" x14ac:dyDescent="0.25">
      <c r="A273" s="27">
        <v>44828</v>
      </c>
      <c r="B273" s="23">
        <v>49</v>
      </c>
      <c r="C273" s="23">
        <v>42</v>
      </c>
      <c r="D273" s="23">
        <v>39</v>
      </c>
      <c r="E273" s="23">
        <v>3</v>
      </c>
      <c r="F273" s="23">
        <v>7</v>
      </c>
      <c r="G273" s="23">
        <v>0</v>
      </c>
      <c r="H273" s="23">
        <v>4</v>
      </c>
      <c r="I273" s="23">
        <v>8</v>
      </c>
      <c r="J273" s="23">
        <v>6</v>
      </c>
      <c r="K273" s="23">
        <v>4</v>
      </c>
      <c r="L273" s="23">
        <v>5</v>
      </c>
      <c r="M273" s="23">
        <v>1</v>
      </c>
      <c r="N273" s="23">
        <v>4</v>
      </c>
      <c r="O273" s="23">
        <v>3</v>
      </c>
      <c r="P273" s="28">
        <v>4</v>
      </c>
    </row>
    <row r="274" spans="1:16" x14ac:dyDescent="0.25">
      <c r="A274" s="27">
        <v>44829</v>
      </c>
      <c r="B274" s="23">
        <v>41</v>
      </c>
      <c r="C274" s="23">
        <v>34</v>
      </c>
      <c r="D274" s="23">
        <v>32</v>
      </c>
      <c r="E274" s="23">
        <v>2</v>
      </c>
      <c r="F274" s="23">
        <v>6</v>
      </c>
      <c r="G274" s="23">
        <v>1</v>
      </c>
      <c r="H274" s="23">
        <v>0</v>
      </c>
      <c r="I274" s="23">
        <v>7</v>
      </c>
      <c r="J274" s="23">
        <v>1</v>
      </c>
      <c r="K274" s="23">
        <v>3</v>
      </c>
      <c r="L274" s="23">
        <v>4</v>
      </c>
      <c r="M274" s="23">
        <v>2</v>
      </c>
      <c r="N274" s="23">
        <v>6</v>
      </c>
      <c r="O274" s="23">
        <v>2</v>
      </c>
      <c r="P274" s="28">
        <v>7</v>
      </c>
    </row>
    <row r="275" spans="1:16" x14ac:dyDescent="0.25">
      <c r="A275" s="27">
        <v>44830</v>
      </c>
      <c r="B275" s="23">
        <v>66</v>
      </c>
      <c r="C275" s="23">
        <v>57</v>
      </c>
      <c r="D275" s="23">
        <v>52</v>
      </c>
      <c r="E275" s="23">
        <v>5</v>
      </c>
      <c r="F275" s="23">
        <v>7</v>
      </c>
      <c r="G275" s="23">
        <v>2</v>
      </c>
      <c r="H275" s="23">
        <v>2</v>
      </c>
      <c r="I275" s="23">
        <v>6</v>
      </c>
      <c r="J275" s="23">
        <v>8</v>
      </c>
      <c r="K275" s="23">
        <v>8</v>
      </c>
      <c r="L275" s="23">
        <v>7</v>
      </c>
      <c r="M275" s="23">
        <v>3</v>
      </c>
      <c r="N275" s="23">
        <v>6</v>
      </c>
      <c r="O275" s="23">
        <v>8</v>
      </c>
      <c r="P275" s="28">
        <v>4</v>
      </c>
    </row>
    <row r="276" spans="1:16" x14ac:dyDescent="0.25">
      <c r="A276" s="27">
        <v>44831</v>
      </c>
      <c r="B276" s="23">
        <v>69</v>
      </c>
      <c r="C276" s="23">
        <v>59</v>
      </c>
      <c r="D276" s="23">
        <v>57</v>
      </c>
      <c r="E276" s="23">
        <v>1</v>
      </c>
      <c r="F276" s="23">
        <v>8</v>
      </c>
      <c r="G276" s="23">
        <v>2</v>
      </c>
      <c r="H276" s="23">
        <v>1</v>
      </c>
      <c r="I276" s="23">
        <v>11</v>
      </c>
      <c r="J276" s="23">
        <v>9</v>
      </c>
      <c r="K276" s="23">
        <v>9</v>
      </c>
      <c r="L276" s="23">
        <v>9</v>
      </c>
      <c r="M276" s="23">
        <v>6</v>
      </c>
      <c r="N276" s="23">
        <v>3</v>
      </c>
      <c r="O276" s="23">
        <v>5</v>
      </c>
      <c r="P276" s="28">
        <v>4</v>
      </c>
    </row>
    <row r="277" spans="1:16" x14ac:dyDescent="0.25">
      <c r="A277" s="27">
        <v>44832</v>
      </c>
      <c r="B277" s="23">
        <v>62</v>
      </c>
      <c r="C277" s="23">
        <v>58</v>
      </c>
      <c r="D277" s="23">
        <v>55</v>
      </c>
      <c r="E277" s="23">
        <v>3</v>
      </c>
      <c r="F277" s="23">
        <v>2</v>
      </c>
      <c r="G277" s="23">
        <v>2</v>
      </c>
      <c r="H277" s="23">
        <v>4</v>
      </c>
      <c r="I277" s="23">
        <v>6</v>
      </c>
      <c r="J277" s="23">
        <v>6</v>
      </c>
      <c r="K277" s="23">
        <v>4</v>
      </c>
      <c r="L277" s="23">
        <v>2</v>
      </c>
      <c r="M277" s="23">
        <v>11</v>
      </c>
      <c r="N277" s="23">
        <v>6</v>
      </c>
      <c r="O277" s="23">
        <v>10</v>
      </c>
      <c r="P277" s="28">
        <v>6</v>
      </c>
    </row>
    <row r="278" spans="1:16" x14ac:dyDescent="0.25">
      <c r="A278" s="27">
        <v>44833</v>
      </c>
      <c r="B278" s="23">
        <v>67</v>
      </c>
      <c r="C278" s="23">
        <v>56</v>
      </c>
      <c r="D278" s="23">
        <v>53</v>
      </c>
      <c r="E278" s="23">
        <v>3</v>
      </c>
      <c r="F278" s="23">
        <v>8</v>
      </c>
      <c r="G278" s="23">
        <v>3</v>
      </c>
      <c r="H278" s="23">
        <v>5</v>
      </c>
      <c r="I278" s="23">
        <v>9</v>
      </c>
      <c r="J278" s="23">
        <v>11</v>
      </c>
      <c r="K278" s="23">
        <v>6</v>
      </c>
      <c r="L278" s="23">
        <v>3</v>
      </c>
      <c r="M278" s="23">
        <v>4</v>
      </c>
      <c r="N278" s="23">
        <v>6</v>
      </c>
      <c r="O278" s="23">
        <v>5</v>
      </c>
      <c r="P278" s="28">
        <v>4</v>
      </c>
    </row>
    <row r="279" spans="1:16" x14ac:dyDescent="0.25">
      <c r="A279" s="27">
        <v>44834</v>
      </c>
      <c r="B279" s="23">
        <v>64</v>
      </c>
      <c r="C279" s="23">
        <v>52</v>
      </c>
      <c r="D279" s="23">
        <v>47</v>
      </c>
      <c r="E279" s="23">
        <v>5</v>
      </c>
      <c r="F279" s="23">
        <v>8</v>
      </c>
      <c r="G279" s="23">
        <v>4</v>
      </c>
      <c r="H279" s="23">
        <v>3</v>
      </c>
      <c r="I279" s="23">
        <v>6</v>
      </c>
      <c r="J279" s="23">
        <v>6</v>
      </c>
      <c r="K279" s="23">
        <v>7</v>
      </c>
      <c r="L279" s="23">
        <v>9</v>
      </c>
      <c r="M279" s="23">
        <v>3</v>
      </c>
      <c r="N279" s="23">
        <v>2</v>
      </c>
      <c r="O279" s="23">
        <v>9</v>
      </c>
      <c r="P279" s="28">
        <v>2</v>
      </c>
    </row>
    <row r="280" spans="1:16" x14ac:dyDescent="0.25">
      <c r="A280" s="27">
        <v>44835</v>
      </c>
      <c r="B280" s="23">
        <v>81</v>
      </c>
      <c r="C280" s="23">
        <v>70</v>
      </c>
      <c r="D280" s="23">
        <v>61</v>
      </c>
      <c r="E280" s="23">
        <v>9</v>
      </c>
      <c r="F280" s="23">
        <v>8</v>
      </c>
      <c r="G280" s="23">
        <v>3</v>
      </c>
      <c r="H280" s="23">
        <v>6</v>
      </c>
      <c r="I280" s="23">
        <v>7</v>
      </c>
      <c r="J280" s="23">
        <v>9</v>
      </c>
      <c r="K280" s="23">
        <v>3</v>
      </c>
      <c r="L280" s="23">
        <v>10</v>
      </c>
      <c r="M280" s="23">
        <v>6</v>
      </c>
      <c r="N280" s="23">
        <v>8</v>
      </c>
      <c r="O280" s="23">
        <v>6</v>
      </c>
      <c r="P280" s="28">
        <v>6</v>
      </c>
    </row>
    <row r="281" spans="1:16" x14ac:dyDescent="0.25">
      <c r="A281" s="27">
        <v>44836</v>
      </c>
      <c r="B281" s="23">
        <v>64</v>
      </c>
      <c r="C281" s="23">
        <v>58</v>
      </c>
      <c r="D281" s="23">
        <v>55</v>
      </c>
      <c r="E281" s="23">
        <v>3</v>
      </c>
      <c r="F281" s="23">
        <v>5</v>
      </c>
      <c r="G281" s="23">
        <v>1</v>
      </c>
      <c r="H281" s="23">
        <v>1</v>
      </c>
      <c r="I281" s="23">
        <v>5</v>
      </c>
      <c r="J281" s="23">
        <v>8</v>
      </c>
      <c r="K281" s="23">
        <v>7</v>
      </c>
      <c r="L281" s="23">
        <v>11</v>
      </c>
      <c r="M281" s="23">
        <v>6</v>
      </c>
      <c r="N281" s="23">
        <v>2</v>
      </c>
      <c r="O281" s="23">
        <v>10</v>
      </c>
      <c r="P281" s="28">
        <v>5</v>
      </c>
    </row>
    <row r="282" spans="1:16" x14ac:dyDescent="0.25">
      <c r="A282" s="27">
        <v>44837</v>
      </c>
      <c r="B282" s="23">
        <v>83</v>
      </c>
      <c r="C282" s="23">
        <v>75</v>
      </c>
      <c r="D282" s="23">
        <v>69</v>
      </c>
      <c r="E282" s="23">
        <v>6</v>
      </c>
      <c r="F282" s="23">
        <v>6</v>
      </c>
      <c r="G282" s="23">
        <v>2</v>
      </c>
      <c r="H282" s="23">
        <v>4</v>
      </c>
      <c r="I282" s="23">
        <v>10</v>
      </c>
      <c r="J282" s="23">
        <v>8</v>
      </c>
      <c r="K282" s="23">
        <v>8</v>
      </c>
      <c r="L282" s="23">
        <v>8</v>
      </c>
      <c r="M282" s="23">
        <v>10</v>
      </c>
      <c r="N282" s="23">
        <v>4</v>
      </c>
      <c r="O282" s="23">
        <v>11</v>
      </c>
      <c r="P282" s="28">
        <v>6</v>
      </c>
    </row>
    <row r="283" spans="1:16" x14ac:dyDescent="0.25">
      <c r="A283" s="27">
        <v>44838</v>
      </c>
      <c r="B283" s="23">
        <v>92</v>
      </c>
      <c r="C283" s="23">
        <v>84</v>
      </c>
      <c r="D283" s="23">
        <v>80</v>
      </c>
      <c r="E283" s="23">
        <v>4</v>
      </c>
      <c r="F283" s="23">
        <v>7</v>
      </c>
      <c r="G283" s="23">
        <v>1</v>
      </c>
      <c r="H283" s="23">
        <v>6</v>
      </c>
      <c r="I283" s="23">
        <v>10</v>
      </c>
      <c r="J283" s="23">
        <v>10</v>
      </c>
      <c r="K283" s="23">
        <v>6</v>
      </c>
      <c r="L283" s="23">
        <v>12</v>
      </c>
      <c r="M283" s="23">
        <v>7</v>
      </c>
      <c r="N283" s="23">
        <v>3</v>
      </c>
      <c r="O283" s="23">
        <v>19</v>
      </c>
      <c r="P283" s="28">
        <v>7</v>
      </c>
    </row>
    <row r="284" spans="1:16" x14ac:dyDescent="0.25">
      <c r="A284" s="27">
        <v>44839</v>
      </c>
      <c r="B284" s="23">
        <v>99</v>
      </c>
      <c r="C284" s="23">
        <v>89</v>
      </c>
      <c r="D284" s="23">
        <v>85</v>
      </c>
      <c r="E284" s="23">
        <v>4</v>
      </c>
      <c r="F284" s="23">
        <v>9</v>
      </c>
      <c r="G284" s="23">
        <v>1</v>
      </c>
      <c r="H284" s="23">
        <v>7</v>
      </c>
      <c r="I284" s="23">
        <v>12</v>
      </c>
      <c r="J284" s="23">
        <v>10</v>
      </c>
      <c r="K284" s="23">
        <v>12</v>
      </c>
      <c r="L284" s="23">
        <v>3</v>
      </c>
      <c r="M284" s="23">
        <v>9</v>
      </c>
      <c r="N284" s="23">
        <v>6</v>
      </c>
      <c r="O284" s="23">
        <v>14</v>
      </c>
      <c r="P284" s="28">
        <v>12</v>
      </c>
    </row>
    <row r="285" spans="1:16" x14ac:dyDescent="0.25">
      <c r="A285" s="27">
        <v>44840</v>
      </c>
      <c r="B285" s="23">
        <v>96</v>
      </c>
      <c r="C285" s="23">
        <v>90</v>
      </c>
      <c r="D285" s="23">
        <v>81</v>
      </c>
      <c r="E285" s="23">
        <v>9</v>
      </c>
      <c r="F285" s="23">
        <v>6</v>
      </c>
      <c r="G285" s="23">
        <v>0</v>
      </c>
      <c r="H285" s="23">
        <v>4</v>
      </c>
      <c r="I285" s="23">
        <v>12</v>
      </c>
      <c r="J285" s="23">
        <v>10</v>
      </c>
      <c r="K285" s="23">
        <v>9</v>
      </c>
      <c r="L285" s="23">
        <v>9</v>
      </c>
      <c r="M285" s="23">
        <v>15</v>
      </c>
      <c r="N285" s="23">
        <v>6</v>
      </c>
      <c r="O285" s="23">
        <v>10</v>
      </c>
      <c r="P285" s="28">
        <v>6</v>
      </c>
    </row>
    <row r="286" spans="1:16" x14ac:dyDescent="0.25">
      <c r="A286" s="27">
        <v>44841</v>
      </c>
      <c r="B286" s="23">
        <v>101</v>
      </c>
      <c r="C286" s="23">
        <v>92</v>
      </c>
      <c r="D286" s="23">
        <v>86</v>
      </c>
      <c r="E286" s="23">
        <v>6</v>
      </c>
      <c r="F286" s="23">
        <v>8</v>
      </c>
      <c r="G286" s="23">
        <v>1</v>
      </c>
      <c r="H286" s="23">
        <v>5</v>
      </c>
      <c r="I286" s="23">
        <v>13</v>
      </c>
      <c r="J286" s="23">
        <v>14</v>
      </c>
      <c r="K286" s="23">
        <v>7</v>
      </c>
      <c r="L286" s="23">
        <v>9</v>
      </c>
      <c r="M286" s="23">
        <v>13</v>
      </c>
      <c r="N286" s="23">
        <v>6</v>
      </c>
      <c r="O286" s="23">
        <v>12</v>
      </c>
      <c r="P286" s="28">
        <v>7</v>
      </c>
    </row>
    <row r="287" spans="1:16" x14ac:dyDescent="0.25">
      <c r="A287" s="27">
        <v>44842</v>
      </c>
      <c r="B287" s="23">
        <v>92</v>
      </c>
      <c r="C287" s="23">
        <v>86</v>
      </c>
      <c r="D287" s="23">
        <v>82</v>
      </c>
      <c r="E287" s="23">
        <v>4</v>
      </c>
      <c r="F287" s="23">
        <v>6</v>
      </c>
      <c r="G287" s="23">
        <v>0</v>
      </c>
      <c r="H287" s="23">
        <v>5</v>
      </c>
      <c r="I287" s="23">
        <v>18</v>
      </c>
      <c r="J287" s="23">
        <v>13</v>
      </c>
      <c r="K287" s="23">
        <v>7</v>
      </c>
      <c r="L287" s="23">
        <v>8</v>
      </c>
      <c r="M287" s="23">
        <v>18</v>
      </c>
      <c r="N287" s="23">
        <v>4</v>
      </c>
      <c r="O287" s="23">
        <v>8</v>
      </c>
      <c r="P287" s="28">
        <v>1</v>
      </c>
    </row>
    <row r="288" spans="1:16" x14ac:dyDescent="0.25">
      <c r="A288" s="27">
        <v>44843</v>
      </c>
      <c r="B288" s="23">
        <v>101</v>
      </c>
      <c r="C288" s="23">
        <v>89</v>
      </c>
      <c r="D288" s="23">
        <v>84</v>
      </c>
      <c r="E288" s="23">
        <v>5</v>
      </c>
      <c r="F288" s="23">
        <v>7</v>
      </c>
      <c r="G288" s="23">
        <v>5</v>
      </c>
      <c r="H288" s="23">
        <v>4</v>
      </c>
      <c r="I288" s="23">
        <v>11</v>
      </c>
      <c r="J288" s="23">
        <v>16</v>
      </c>
      <c r="K288" s="23">
        <v>16</v>
      </c>
      <c r="L288" s="23">
        <v>7</v>
      </c>
      <c r="M288" s="23">
        <v>4</v>
      </c>
      <c r="N288" s="23">
        <v>6</v>
      </c>
      <c r="O288" s="23">
        <v>12</v>
      </c>
      <c r="P288" s="28">
        <v>8</v>
      </c>
    </row>
    <row r="289" spans="1:16" x14ac:dyDescent="0.25">
      <c r="A289" s="27">
        <v>44844</v>
      </c>
      <c r="B289" s="23">
        <v>94</v>
      </c>
      <c r="C289" s="23">
        <v>89</v>
      </c>
      <c r="D289" s="23">
        <v>80</v>
      </c>
      <c r="E289" s="23">
        <v>8</v>
      </c>
      <c r="F289" s="23">
        <v>3</v>
      </c>
      <c r="G289" s="23">
        <v>2</v>
      </c>
      <c r="H289" s="23">
        <v>5</v>
      </c>
      <c r="I289" s="23">
        <v>7</v>
      </c>
      <c r="J289" s="23">
        <v>13</v>
      </c>
      <c r="K289" s="23">
        <v>12</v>
      </c>
      <c r="L289" s="23">
        <v>4</v>
      </c>
      <c r="M289" s="23">
        <v>7</v>
      </c>
      <c r="N289" s="23">
        <v>5</v>
      </c>
      <c r="O289" s="23">
        <v>17</v>
      </c>
      <c r="P289" s="28">
        <v>10</v>
      </c>
    </row>
    <row r="290" spans="1:16" x14ac:dyDescent="0.25">
      <c r="A290" s="27">
        <v>44845</v>
      </c>
      <c r="B290" s="23">
        <v>108</v>
      </c>
      <c r="C290" s="23">
        <v>104</v>
      </c>
      <c r="D290" s="23">
        <v>102</v>
      </c>
      <c r="E290" s="23">
        <v>2</v>
      </c>
      <c r="F290" s="23">
        <v>4</v>
      </c>
      <c r="G290" s="23">
        <v>0</v>
      </c>
      <c r="H290" s="23">
        <v>5</v>
      </c>
      <c r="I290" s="23">
        <v>16</v>
      </c>
      <c r="J290" s="23">
        <v>11</v>
      </c>
      <c r="K290" s="23">
        <v>9</v>
      </c>
      <c r="L290" s="23">
        <v>15</v>
      </c>
      <c r="M290" s="23">
        <v>11</v>
      </c>
      <c r="N290" s="23">
        <v>11</v>
      </c>
      <c r="O290" s="23">
        <v>18</v>
      </c>
      <c r="P290" s="28">
        <v>6</v>
      </c>
    </row>
    <row r="291" spans="1:16" x14ac:dyDescent="0.25">
      <c r="A291" s="27">
        <v>44846</v>
      </c>
      <c r="B291" s="23">
        <v>127</v>
      </c>
      <c r="C291" s="23">
        <v>122</v>
      </c>
      <c r="D291" s="23">
        <v>113</v>
      </c>
      <c r="E291" s="23">
        <v>9</v>
      </c>
      <c r="F291" s="23">
        <v>5</v>
      </c>
      <c r="G291" s="23">
        <v>0</v>
      </c>
      <c r="H291" s="23">
        <v>3</v>
      </c>
      <c r="I291" s="23">
        <v>12</v>
      </c>
      <c r="J291" s="23">
        <v>14</v>
      </c>
      <c r="K291" s="23">
        <v>6</v>
      </c>
      <c r="L291" s="23">
        <v>12</v>
      </c>
      <c r="M291" s="23">
        <v>20</v>
      </c>
      <c r="N291" s="23">
        <v>10</v>
      </c>
      <c r="O291" s="23">
        <v>28</v>
      </c>
      <c r="P291" s="28">
        <v>8</v>
      </c>
    </row>
    <row r="292" spans="1:16" x14ac:dyDescent="0.25">
      <c r="A292" s="27">
        <v>44847</v>
      </c>
      <c r="B292" s="23">
        <v>112</v>
      </c>
      <c r="C292" s="23">
        <v>104</v>
      </c>
      <c r="D292" s="23">
        <v>101</v>
      </c>
      <c r="E292" s="23">
        <v>3</v>
      </c>
      <c r="F292" s="23">
        <v>5</v>
      </c>
      <c r="G292" s="23">
        <v>3</v>
      </c>
      <c r="H292" s="23">
        <v>4</v>
      </c>
      <c r="I292" s="23">
        <v>9</v>
      </c>
      <c r="J292" s="23">
        <v>14</v>
      </c>
      <c r="K292" s="23">
        <v>10</v>
      </c>
      <c r="L292" s="23">
        <v>10</v>
      </c>
      <c r="M292" s="23">
        <v>13</v>
      </c>
      <c r="N292" s="23">
        <v>10</v>
      </c>
      <c r="O292" s="23">
        <v>16</v>
      </c>
      <c r="P292" s="28">
        <v>15</v>
      </c>
    </row>
    <row r="293" spans="1:16" x14ac:dyDescent="0.25">
      <c r="A293" s="27">
        <v>44848</v>
      </c>
      <c r="B293" s="23">
        <v>115</v>
      </c>
      <c r="C293" s="23">
        <v>108</v>
      </c>
      <c r="D293" s="23">
        <v>104</v>
      </c>
      <c r="E293" s="23">
        <v>4</v>
      </c>
      <c r="F293" s="23">
        <v>6</v>
      </c>
      <c r="G293" s="23">
        <v>1</v>
      </c>
      <c r="H293" s="23">
        <v>7</v>
      </c>
      <c r="I293" s="23">
        <v>15</v>
      </c>
      <c r="J293" s="23">
        <v>10</v>
      </c>
      <c r="K293" s="23">
        <v>9</v>
      </c>
      <c r="L293" s="23">
        <v>15</v>
      </c>
      <c r="M293" s="23">
        <v>11</v>
      </c>
      <c r="N293" s="23">
        <v>12</v>
      </c>
      <c r="O293" s="23">
        <v>17</v>
      </c>
      <c r="P293" s="28">
        <v>8</v>
      </c>
    </row>
    <row r="294" spans="1:16" x14ac:dyDescent="0.25">
      <c r="A294" s="27">
        <v>44849</v>
      </c>
      <c r="B294" s="23">
        <v>109</v>
      </c>
      <c r="C294" s="23">
        <v>100</v>
      </c>
      <c r="D294" s="23">
        <v>92</v>
      </c>
      <c r="E294" s="23">
        <v>8</v>
      </c>
      <c r="F294" s="23">
        <v>9</v>
      </c>
      <c r="G294" s="23">
        <v>0</v>
      </c>
      <c r="H294" s="23">
        <v>9</v>
      </c>
      <c r="I294" s="23">
        <v>7</v>
      </c>
      <c r="J294" s="23">
        <v>6</v>
      </c>
      <c r="K294" s="23">
        <v>4</v>
      </c>
      <c r="L294" s="23">
        <v>13</v>
      </c>
      <c r="M294" s="23">
        <v>17</v>
      </c>
      <c r="N294" s="23">
        <v>9</v>
      </c>
      <c r="O294" s="23">
        <v>17</v>
      </c>
      <c r="P294" s="28">
        <v>10</v>
      </c>
    </row>
    <row r="295" spans="1:16" x14ac:dyDescent="0.25">
      <c r="A295" s="27">
        <v>44850</v>
      </c>
      <c r="B295" s="23">
        <v>108</v>
      </c>
      <c r="C295" s="23">
        <v>104</v>
      </c>
      <c r="D295" s="23">
        <v>98</v>
      </c>
      <c r="E295" s="23">
        <v>5</v>
      </c>
      <c r="F295" s="23">
        <v>3</v>
      </c>
      <c r="G295" s="23">
        <v>1</v>
      </c>
      <c r="H295" s="23">
        <v>2</v>
      </c>
      <c r="I295" s="23">
        <v>13</v>
      </c>
      <c r="J295" s="23">
        <v>14</v>
      </c>
      <c r="K295" s="23">
        <v>12</v>
      </c>
      <c r="L295" s="23">
        <v>11</v>
      </c>
      <c r="M295" s="23">
        <v>11</v>
      </c>
      <c r="N295" s="23">
        <v>10</v>
      </c>
      <c r="O295" s="23">
        <v>19</v>
      </c>
      <c r="P295" s="28">
        <v>6</v>
      </c>
    </row>
    <row r="296" spans="1:16" x14ac:dyDescent="0.25">
      <c r="A296" s="27">
        <v>44851</v>
      </c>
      <c r="B296" s="23">
        <v>117</v>
      </c>
      <c r="C296" s="23">
        <v>109</v>
      </c>
      <c r="D296" s="23">
        <v>103</v>
      </c>
      <c r="E296" s="23">
        <v>6</v>
      </c>
      <c r="F296" s="23">
        <v>7</v>
      </c>
      <c r="G296" s="23">
        <v>1</v>
      </c>
      <c r="H296" s="23">
        <v>10</v>
      </c>
      <c r="I296" s="23">
        <v>4</v>
      </c>
      <c r="J296" s="23">
        <v>11</v>
      </c>
      <c r="K296" s="23">
        <v>9</v>
      </c>
      <c r="L296" s="23">
        <v>7</v>
      </c>
      <c r="M296" s="23">
        <v>15</v>
      </c>
      <c r="N296" s="23">
        <v>15</v>
      </c>
      <c r="O296" s="23">
        <v>20</v>
      </c>
      <c r="P296" s="28">
        <v>12</v>
      </c>
    </row>
    <row r="297" spans="1:16" x14ac:dyDescent="0.25">
      <c r="A297" s="27">
        <v>44852</v>
      </c>
      <c r="B297" s="23">
        <v>109</v>
      </c>
      <c r="C297" s="23">
        <v>97</v>
      </c>
      <c r="D297" s="23">
        <v>90</v>
      </c>
      <c r="E297" s="23">
        <v>7</v>
      </c>
      <c r="F297" s="23">
        <v>8</v>
      </c>
      <c r="G297" s="23">
        <v>4</v>
      </c>
      <c r="H297" s="23">
        <v>5</v>
      </c>
      <c r="I297" s="23">
        <v>14</v>
      </c>
      <c r="J297" s="23">
        <v>9</v>
      </c>
      <c r="K297" s="23">
        <v>7</v>
      </c>
      <c r="L297" s="23">
        <v>9</v>
      </c>
      <c r="M297" s="23">
        <v>11</v>
      </c>
      <c r="N297" s="23">
        <v>10</v>
      </c>
      <c r="O297" s="23">
        <v>19</v>
      </c>
      <c r="P297" s="28">
        <v>6</v>
      </c>
    </row>
    <row r="298" spans="1:16" x14ac:dyDescent="0.25">
      <c r="A298" s="27">
        <v>44853</v>
      </c>
      <c r="B298" s="23">
        <v>102</v>
      </c>
      <c r="C298" s="23">
        <v>91</v>
      </c>
      <c r="D298" s="23">
        <v>87</v>
      </c>
      <c r="E298" s="23">
        <v>3</v>
      </c>
      <c r="F298" s="23">
        <v>8</v>
      </c>
      <c r="G298" s="23">
        <v>3</v>
      </c>
      <c r="H298" s="23">
        <v>8</v>
      </c>
      <c r="I298" s="23">
        <v>10</v>
      </c>
      <c r="J298" s="23">
        <v>11</v>
      </c>
      <c r="K298" s="23">
        <v>6</v>
      </c>
      <c r="L298" s="23">
        <v>7</v>
      </c>
      <c r="M298" s="23">
        <v>13</v>
      </c>
      <c r="N298" s="23">
        <v>7</v>
      </c>
      <c r="O298" s="23">
        <v>16</v>
      </c>
      <c r="P298" s="28">
        <v>9</v>
      </c>
    </row>
    <row r="299" spans="1:16" x14ac:dyDescent="0.25">
      <c r="A299" s="27">
        <v>44854</v>
      </c>
      <c r="B299" s="23">
        <v>123</v>
      </c>
      <c r="C299" s="23">
        <v>114</v>
      </c>
      <c r="D299" s="23">
        <v>109</v>
      </c>
      <c r="E299" s="23">
        <v>5</v>
      </c>
      <c r="F299" s="23">
        <v>6</v>
      </c>
      <c r="G299" s="23">
        <v>3</v>
      </c>
      <c r="H299" s="23">
        <v>1</v>
      </c>
      <c r="I299" s="23">
        <v>13</v>
      </c>
      <c r="J299" s="23">
        <v>12</v>
      </c>
      <c r="K299" s="23">
        <v>10</v>
      </c>
      <c r="L299" s="23">
        <v>17</v>
      </c>
      <c r="M299" s="23">
        <v>20</v>
      </c>
      <c r="N299" s="23">
        <v>7</v>
      </c>
      <c r="O299" s="23">
        <v>19</v>
      </c>
      <c r="P299" s="28">
        <v>10</v>
      </c>
    </row>
    <row r="300" spans="1:16" x14ac:dyDescent="0.25">
      <c r="A300" s="27">
        <v>44855</v>
      </c>
      <c r="B300" s="23">
        <v>112</v>
      </c>
      <c r="C300" s="23">
        <v>100</v>
      </c>
      <c r="D300" s="23">
        <v>94</v>
      </c>
      <c r="E300" s="23">
        <v>6</v>
      </c>
      <c r="F300" s="23">
        <v>10</v>
      </c>
      <c r="G300" s="23">
        <v>2</v>
      </c>
      <c r="H300" s="23">
        <v>4</v>
      </c>
      <c r="I300" s="23">
        <v>17</v>
      </c>
      <c r="J300" s="23">
        <v>8</v>
      </c>
      <c r="K300" s="23">
        <v>16</v>
      </c>
      <c r="L300" s="23">
        <v>3</v>
      </c>
      <c r="M300" s="23">
        <v>10</v>
      </c>
      <c r="N300" s="23">
        <v>11</v>
      </c>
      <c r="O300" s="23">
        <v>17</v>
      </c>
      <c r="P300" s="28">
        <v>8</v>
      </c>
    </row>
    <row r="301" spans="1:16" x14ac:dyDescent="0.25">
      <c r="A301" s="27">
        <v>44856</v>
      </c>
      <c r="B301" s="23">
        <v>112</v>
      </c>
      <c r="C301" s="23">
        <v>103</v>
      </c>
      <c r="D301" s="23">
        <v>99</v>
      </c>
      <c r="E301" s="23">
        <v>4</v>
      </c>
      <c r="F301" s="23">
        <v>8</v>
      </c>
      <c r="G301" s="23">
        <v>1</v>
      </c>
      <c r="H301" s="23">
        <v>2</v>
      </c>
      <c r="I301" s="23">
        <v>11</v>
      </c>
      <c r="J301" s="23">
        <v>17</v>
      </c>
      <c r="K301" s="23">
        <v>11</v>
      </c>
      <c r="L301" s="23">
        <v>12</v>
      </c>
      <c r="M301" s="23">
        <v>8</v>
      </c>
      <c r="N301" s="23">
        <v>6</v>
      </c>
      <c r="O301" s="23">
        <v>16</v>
      </c>
      <c r="P301" s="28">
        <v>16</v>
      </c>
    </row>
    <row r="302" spans="1:16" x14ac:dyDescent="0.25">
      <c r="A302" s="27">
        <v>44857</v>
      </c>
      <c r="B302" s="23">
        <v>103</v>
      </c>
      <c r="C302" s="23">
        <v>92</v>
      </c>
      <c r="D302" s="23">
        <v>86</v>
      </c>
      <c r="E302" s="23">
        <v>6</v>
      </c>
      <c r="F302" s="23">
        <v>7</v>
      </c>
      <c r="G302" s="23">
        <v>4</v>
      </c>
      <c r="H302" s="23">
        <v>6</v>
      </c>
      <c r="I302" s="23">
        <v>12</v>
      </c>
      <c r="J302" s="23">
        <v>10</v>
      </c>
      <c r="K302" s="23">
        <v>10</v>
      </c>
      <c r="L302" s="23">
        <v>5</v>
      </c>
      <c r="M302" s="23">
        <v>15</v>
      </c>
      <c r="N302" s="23">
        <v>8</v>
      </c>
      <c r="O302" s="23">
        <v>13</v>
      </c>
      <c r="P302" s="28">
        <v>7</v>
      </c>
    </row>
    <row r="303" spans="1:16" x14ac:dyDescent="0.25">
      <c r="A303" s="27">
        <v>44858</v>
      </c>
      <c r="B303" s="23">
        <v>107</v>
      </c>
      <c r="C303" s="23">
        <v>101</v>
      </c>
      <c r="D303" s="23">
        <v>94</v>
      </c>
      <c r="E303" s="23">
        <v>6</v>
      </c>
      <c r="F303" s="23">
        <v>5</v>
      </c>
      <c r="G303" s="23">
        <v>1</v>
      </c>
      <c r="H303" s="23">
        <v>5</v>
      </c>
      <c r="I303" s="23">
        <v>12</v>
      </c>
      <c r="J303" s="23">
        <v>9</v>
      </c>
      <c r="K303" s="23">
        <v>9</v>
      </c>
      <c r="L303" s="23">
        <v>4</v>
      </c>
      <c r="M303" s="23">
        <v>15</v>
      </c>
      <c r="N303" s="23">
        <v>12</v>
      </c>
      <c r="O303" s="23">
        <v>20</v>
      </c>
      <c r="P303" s="28">
        <v>8</v>
      </c>
    </row>
    <row r="304" spans="1:16" x14ac:dyDescent="0.25">
      <c r="A304" s="27">
        <v>44859</v>
      </c>
      <c r="B304" s="23">
        <v>115</v>
      </c>
      <c r="C304" s="23">
        <v>100</v>
      </c>
      <c r="D304" s="23">
        <v>95</v>
      </c>
      <c r="E304" s="23">
        <v>5</v>
      </c>
      <c r="F304" s="23">
        <v>9</v>
      </c>
      <c r="G304" s="23">
        <v>6</v>
      </c>
      <c r="H304" s="23">
        <v>0</v>
      </c>
      <c r="I304" s="23">
        <v>11</v>
      </c>
      <c r="J304" s="23">
        <v>14</v>
      </c>
      <c r="K304" s="23">
        <v>5</v>
      </c>
      <c r="L304" s="23">
        <v>12</v>
      </c>
      <c r="M304" s="23">
        <v>13</v>
      </c>
      <c r="N304" s="23">
        <v>11</v>
      </c>
      <c r="O304" s="23">
        <v>16</v>
      </c>
      <c r="P304" s="28">
        <v>13</v>
      </c>
    </row>
    <row r="305" spans="1:16" x14ac:dyDescent="0.25">
      <c r="A305" s="27">
        <v>44860</v>
      </c>
      <c r="B305" s="23">
        <v>92</v>
      </c>
      <c r="C305" s="23">
        <v>88</v>
      </c>
      <c r="D305" s="23">
        <v>82</v>
      </c>
      <c r="E305" s="23">
        <v>6</v>
      </c>
      <c r="F305" s="23">
        <v>4</v>
      </c>
      <c r="G305" s="23">
        <v>0</v>
      </c>
      <c r="H305" s="23">
        <v>4</v>
      </c>
      <c r="I305" s="23">
        <v>14</v>
      </c>
      <c r="J305" s="23">
        <v>11</v>
      </c>
      <c r="K305" s="23">
        <v>10</v>
      </c>
      <c r="L305" s="23">
        <v>6</v>
      </c>
      <c r="M305" s="23">
        <v>7</v>
      </c>
      <c r="N305" s="23">
        <v>9</v>
      </c>
      <c r="O305" s="23">
        <v>8</v>
      </c>
      <c r="P305" s="28">
        <v>13</v>
      </c>
    </row>
    <row r="306" spans="1:16" x14ac:dyDescent="0.25">
      <c r="A306" s="27">
        <v>44861</v>
      </c>
      <c r="B306" s="23">
        <v>107</v>
      </c>
      <c r="C306" s="23">
        <v>101</v>
      </c>
      <c r="D306" s="23">
        <v>96</v>
      </c>
      <c r="E306" s="23">
        <v>5</v>
      </c>
      <c r="F306" s="23">
        <v>3</v>
      </c>
      <c r="G306" s="23">
        <v>3</v>
      </c>
      <c r="H306" s="23">
        <v>5</v>
      </c>
      <c r="I306" s="23">
        <v>12</v>
      </c>
      <c r="J306" s="23">
        <v>13</v>
      </c>
      <c r="K306" s="23">
        <v>10</v>
      </c>
      <c r="L306" s="23">
        <v>12</v>
      </c>
      <c r="M306" s="23">
        <v>12</v>
      </c>
      <c r="N306" s="23">
        <v>12</v>
      </c>
      <c r="O306" s="23">
        <v>12</v>
      </c>
      <c r="P306" s="28">
        <v>8</v>
      </c>
    </row>
    <row r="307" spans="1:16" x14ac:dyDescent="0.25">
      <c r="A307" s="27">
        <v>44862</v>
      </c>
      <c r="B307" s="23">
        <v>88</v>
      </c>
      <c r="C307" s="23">
        <v>82</v>
      </c>
      <c r="D307" s="23">
        <v>75</v>
      </c>
      <c r="E307" s="23">
        <v>7</v>
      </c>
      <c r="F307" s="23">
        <v>4</v>
      </c>
      <c r="G307" s="23">
        <v>2</v>
      </c>
      <c r="H307" s="23">
        <v>3</v>
      </c>
      <c r="I307" s="23">
        <v>8</v>
      </c>
      <c r="J307" s="23">
        <v>8</v>
      </c>
      <c r="K307" s="23">
        <v>8</v>
      </c>
      <c r="L307" s="23">
        <v>4</v>
      </c>
      <c r="M307" s="23">
        <v>13</v>
      </c>
      <c r="N307" s="23">
        <v>12</v>
      </c>
      <c r="O307" s="23">
        <v>12</v>
      </c>
      <c r="P307" s="28">
        <v>7</v>
      </c>
    </row>
    <row r="308" spans="1:16" x14ac:dyDescent="0.25">
      <c r="A308" s="27">
        <v>44863</v>
      </c>
      <c r="B308" s="23">
        <v>98</v>
      </c>
      <c r="C308" s="23">
        <v>91</v>
      </c>
      <c r="D308" s="23">
        <v>81</v>
      </c>
      <c r="E308" s="23">
        <v>9</v>
      </c>
      <c r="F308" s="23">
        <v>6</v>
      </c>
      <c r="G308" s="23">
        <v>1</v>
      </c>
      <c r="H308" s="23">
        <v>6</v>
      </c>
      <c r="I308" s="23">
        <v>13</v>
      </c>
      <c r="J308" s="23">
        <v>8</v>
      </c>
      <c r="K308" s="23">
        <v>9</v>
      </c>
      <c r="L308" s="23">
        <v>4</v>
      </c>
      <c r="M308" s="23">
        <v>7</v>
      </c>
      <c r="N308" s="23">
        <v>10</v>
      </c>
      <c r="O308" s="23">
        <v>17</v>
      </c>
      <c r="P308" s="28">
        <v>7</v>
      </c>
    </row>
    <row r="309" spans="1:16" x14ac:dyDescent="0.25">
      <c r="A309" s="27">
        <v>44864</v>
      </c>
      <c r="B309" s="23">
        <v>98</v>
      </c>
      <c r="C309" s="23">
        <v>93</v>
      </c>
      <c r="D309" s="23">
        <v>88</v>
      </c>
      <c r="E309" s="23">
        <v>5</v>
      </c>
      <c r="F309" s="23">
        <v>5</v>
      </c>
      <c r="G309" s="23">
        <v>0</v>
      </c>
      <c r="H309" s="23">
        <v>5</v>
      </c>
      <c r="I309" s="23">
        <v>7</v>
      </c>
      <c r="J309" s="23">
        <v>6</v>
      </c>
      <c r="K309" s="23">
        <v>8</v>
      </c>
      <c r="L309" s="23">
        <v>9</v>
      </c>
      <c r="M309" s="23">
        <v>16</v>
      </c>
      <c r="N309" s="23">
        <v>16</v>
      </c>
      <c r="O309" s="23">
        <v>14</v>
      </c>
      <c r="P309" s="28">
        <v>7</v>
      </c>
    </row>
    <row r="310" spans="1:16" x14ac:dyDescent="0.25">
      <c r="A310" s="27">
        <v>44865</v>
      </c>
      <c r="B310" s="23">
        <v>83</v>
      </c>
      <c r="C310" s="23">
        <v>72</v>
      </c>
      <c r="D310" s="23">
        <v>64</v>
      </c>
      <c r="E310" s="23">
        <v>8</v>
      </c>
      <c r="F310" s="23">
        <v>9</v>
      </c>
      <c r="G310" s="23">
        <v>2</v>
      </c>
      <c r="H310" s="23">
        <v>2</v>
      </c>
      <c r="I310" s="23">
        <v>8</v>
      </c>
      <c r="J310" s="23">
        <v>9</v>
      </c>
      <c r="K310" s="23">
        <v>13</v>
      </c>
      <c r="L310" s="23">
        <v>6</v>
      </c>
      <c r="M310" s="23">
        <v>6</v>
      </c>
      <c r="N310" s="23">
        <v>5</v>
      </c>
      <c r="O310" s="23">
        <v>11</v>
      </c>
      <c r="P310" s="28">
        <v>4</v>
      </c>
    </row>
    <row r="311" spans="1:16" x14ac:dyDescent="0.25">
      <c r="A311" s="27">
        <v>44866</v>
      </c>
      <c r="B311" s="23">
        <v>85</v>
      </c>
      <c r="C311" s="23">
        <v>74</v>
      </c>
      <c r="D311" s="23">
        <v>68</v>
      </c>
      <c r="E311" s="23">
        <v>6</v>
      </c>
      <c r="F311" s="23">
        <v>9</v>
      </c>
      <c r="G311" s="23">
        <v>2</v>
      </c>
      <c r="H311" s="23">
        <v>5</v>
      </c>
      <c r="I311" s="23">
        <v>11</v>
      </c>
      <c r="J311" s="23">
        <v>8</v>
      </c>
      <c r="K311" s="23">
        <v>7</v>
      </c>
      <c r="L311" s="23">
        <v>7</v>
      </c>
      <c r="M311" s="23">
        <v>4</v>
      </c>
      <c r="N311" s="23">
        <v>11</v>
      </c>
      <c r="O311" s="23">
        <v>9</v>
      </c>
      <c r="P311" s="28">
        <v>6</v>
      </c>
    </row>
    <row r="312" spans="1:16" x14ac:dyDescent="0.25">
      <c r="A312" s="27">
        <v>44867</v>
      </c>
      <c r="B312" s="23">
        <v>79</v>
      </c>
      <c r="C312" s="23">
        <v>69</v>
      </c>
      <c r="D312" s="23">
        <v>66</v>
      </c>
      <c r="E312" s="23">
        <v>3</v>
      </c>
      <c r="F312" s="23">
        <v>8</v>
      </c>
      <c r="G312" s="23">
        <v>2</v>
      </c>
      <c r="H312" s="23">
        <v>3</v>
      </c>
      <c r="I312" s="23">
        <v>7</v>
      </c>
      <c r="J312" s="23">
        <v>7</v>
      </c>
      <c r="K312" s="23">
        <v>10</v>
      </c>
      <c r="L312" s="23">
        <v>5</v>
      </c>
      <c r="M312" s="23">
        <v>10</v>
      </c>
      <c r="N312" s="23">
        <v>5</v>
      </c>
      <c r="O312" s="23">
        <v>14</v>
      </c>
      <c r="P312" s="28">
        <v>5</v>
      </c>
    </row>
    <row r="313" spans="1:16" x14ac:dyDescent="0.25">
      <c r="A313" s="27">
        <v>44868</v>
      </c>
      <c r="B313" s="23">
        <v>84</v>
      </c>
      <c r="C313" s="23">
        <v>75</v>
      </c>
      <c r="D313" s="23">
        <v>70</v>
      </c>
      <c r="E313" s="23">
        <v>5</v>
      </c>
      <c r="F313" s="23">
        <v>7</v>
      </c>
      <c r="G313" s="23">
        <v>2</v>
      </c>
      <c r="H313" s="23">
        <v>6</v>
      </c>
      <c r="I313" s="23">
        <v>11</v>
      </c>
      <c r="J313" s="23">
        <v>8</v>
      </c>
      <c r="K313" s="23">
        <v>5</v>
      </c>
      <c r="L313" s="23">
        <v>11</v>
      </c>
      <c r="M313" s="23">
        <v>9</v>
      </c>
      <c r="N313" s="23">
        <v>4</v>
      </c>
      <c r="O313" s="23">
        <v>11</v>
      </c>
      <c r="P313" s="28">
        <v>5</v>
      </c>
    </row>
    <row r="314" spans="1:16" x14ac:dyDescent="0.25">
      <c r="A314" s="27">
        <v>44869</v>
      </c>
      <c r="B314" s="23">
        <v>98</v>
      </c>
      <c r="C314" s="23">
        <v>83</v>
      </c>
      <c r="D314" s="23">
        <v>79</v>
      </c>
      <c r="E314" s="23">
        <v>4</v>
      </c>
      <c r="F314" s="23">
        <v>12</v>
      </c>
      <c r="G314" s="23">
        <v>3</v>
      </c>
      <c r="H314" s="23">
        <v>2</v>
      </c>
      <c r="I314" s="23">
        <v>15</v>
      </c>
      <c r="J314" s="23">
        <v>6</v>
      </c>
      <c r="K314" s="23">
        <v>10</v>
      </c>
      <c r="L314" s="23">
        <v>8</v>
      </c>
      <c r="M314" s="23">
        <v>6</v>
      </c>
      <c r="N314" s="23">
        <v>15</v>
      </c>
      <c r="O314" s="23">
        <v>9</v>
      </c>
      <c r="P314" s="28">
        <v>8</v>
      </c>
    </row>
    <row r="315" spans="1:16" x14ac:dyDescent="0.25">
      <c r="A315" s="27">
        <v>44870</v>
      </c>
      <c r="B315" s="23">
        <v>79</v>
      </c>
      <c r="C315" s="23">
        <v>68</v>
      </c>
      <c r="D315" s="23">
        <v>63</v>
      </c>
      <c r="E315" s="23">
        <v>5</v>
      </c>
      <c r="F315" s="23">
        <v>7</v>
      </c>
      <c r="G315" s="23">
        <v>4</v>
      </c>
      <c r="H315" s="23">
        <v>8</v>
      </c>
      <c r="I315" s="23">
        <v>12</v>
      </c>
      <c r="J315" s="23">
        <v>4</v>
      </c>
      <c r="K315" s="23">
        <v>7</v>
      </c>
      <c r="L315" s="23">
        <v>4</v>
      </c>
      <c r="M315" s="23">
        <v>9</v>
      </c>
      <c r="N315" s="23">
        <v>4</v>
      </c>
      <c r="O315" s="23">
        <v>8</v>
      </c>
      <c r="P315" s="28">
        <v>7</v>
      </c>
    </row>
    <row r="316" spans="1:16" x14ac:dyDescent="0.25">
      <c r="A316" s="27">
        <v>44871</v>
      </c>
      <c r="B316" s="23">
        <v>58</v>
      </c>
      <c r="C316" s="23">
        <v>53</v>
      </c>
      <c r="D316" s="23">
        <v>48</v>
      </c>
      <c r="E316" s="23">
        <v>5</v>
      </c>
      <c r="F316" s="23">
        <v>4</v>
      </c>
      <c r="G316" s="23">
        <v>1</v>
      </c>
      <c r="H316" s="23">
        <v>1</v>
      </c>
      <c r="I316" s="23">
        <v>1</v>
      </c>
      <c r="J316" s="23">
        <v>7</v>
      </c>
      <c r="K316" s="23">
        <v>10</v>
      </c>
      <c r="L316" s="23">
        <v>2</v>
      </c>
      <c r="M316" s="23">
        <v>5</v>
      </c>
      <c r="N316" s="23">
        <v>6</v>
      </c>
      <c r="O316" s="23">
        <v>6</v>
      </c>
      <c r="P316" s="28">
        <v>10</v>
      </c>
    </row>
    <row r="317" spans="1:16" x14ac:dyDescent="0.25">
      <c r="A317" s="27">
        <v>44872</v>
      </c>
      <c r="B317" s="23">
        <v>76</v>
      </c>
      <c r="C317" s="23">
        <v>66</v>
      </c>
      <c r="D317" s="23">
        <v>63</v>
      </c>
      <c r="E317" s="23">
        <v>3</v>
      </c>
      <c r="F317" s="23">
        <v>8</v>
      </c>
      <c r="G317" s="23">
        <v>2</v>
      </c>
      <c r="H317" s="23">
        <v>3</v>
      </c>
      <c r="I317" s="23">
        <v>8</v>
      </c>
      <c r="J317" s="23">
        <v>3</v>
      </c>
      <c r="K317" s="23">
        <v>10</v>
      </c>
      <c r="L317" s="23">
        <v>5</v>
      </c>
      <c r="M317" s="23">
        <v>11</v>
      </c>
      <c r="N317" s="23">
        <v>9</v>
      </c>
      <c r="O317" s="23">
        <v>10</v>
      </c>
      <c r="P317" s="28">
        <v>4</v>
      </c>
    </row>
    <row r="318" spans="1:16" x14ac:dyDescent="0.25">
      <c r="A318" s="27">
        <v>44873</v>
      </c>
      <c r="B318" s="23">
        <v>65</v>
      </c>
      <c r="C318" s="23">
        <v>61</v>
      </c>
      <c r="D318" s="23">
        <v>58</v>
      </c>
      <c r="E318" s="23">
        <v>3</v>
      </c>
      <c r="F318" s="23">
        <v>4</v>
      </c>
      <c r="G318" s="23">
        <v>0</v>
      </c>
      <c r="H318" s="23">
        <v>3</v>
      </c>
      <c r="I318" s="23">
        <v>5</v>
      </c>
      <c r="J318" s="23">
        <v>6</v>
      </c>
      <c r="K318" s="23">
        <v>7</v>
      </c>
      <c r="L318" s="23">
        <v>6</v>
      </c>
      <c r="M318" s="23">
        <v>9</v>
      </c>
      <c r="N318" s="23">
        <v>4</v>
      </c>
      <c r="O318" s="23">
        <v>10</v>
      </c>
      <c r="P318" s="28">
        <v>8</v>
      </c>
    </row>
    <row r="319" spans="1:16" x14ac:dyDescent="0.25">
      <c r="A319" s="27">
        <v>44874</v>
      </c>
      <c r="B319" s="23">
        <v>64</v>
      </c>
      <c r="C319" s="23">
        <v>55</v>
      </c>
      <c r="D319" s="23">
        <v>52</v>
      </c>
      <c r="E319" s="23">
        <v>3</v>
      </c>
      <c r="F319" s="23">
        <v>7</v>
      </c>
      <c r="G319" s="23">
        <v>2</v>
      </c>
      <c r="H319" s="23">
        <v>1</v>
      </c>
      <c r="I319" s="23">
        <v>9</v>
      </c>
      <c r="J319" s="23">
        <v>6</v>
      </c>
      <c r="K319" s="23">
        <v>7</v>
      </c>
      <c r="L319" s="23">
        <v>5</v>
      </c>
      <c r="M319" s="23">
        <v>5</v>
      </c>
      <c r="N319" s="23">
        <v>7</v>
      </c>
      <c r="O319" s="23">
        <v>5</v>
      </c>
      <c r="P319" s="28">
        <v>7</v>
      </c>
    </row>
    <row r="320" spans="1:16" x14ac:dyDescent="0.25">
      <c r="A320" s="27">
        <v>44875</v>
      </c>
      <c r="B320" s="23">
        <v>56</v>
      </c>
      <c r="C320" s="23">
        <v>50</v>
      </c>
      <c r="D320" s="23">
        <v>45</v>
      </c>
      <c r="E320" s="23">
        <v>4</v>
      </c>
      <c r="F320" s="23">
        <v>6</v>
      </c>
      <c r="G320" s="23">
        <v>0</v>
      </c>
      <c r="H320" s="23">
        <v>1</v>
      </c>
      <c r="I320" s="23">
        <v>6</v>
      </c>
      <c r="J320" s="23">
        <v>7</v>
      </c>
      <c r="K320" s="23">
        <v>4</v>
      </c>
      <c r="L320" s="23">
        <v>2</v>
      </c>
      <c r="M320" s="23">
        <v>4</v>
      </c>
      <c r="N320" s="23">
        <v>7</v>
      </c>
      <c r="O320" s="23">
        <v>10</v>
      </c>
      <c r="P320" s="28">
        <v>4</v>
      </c>
    </row>
    <row r="321" spans="1:16" x14ac:dyDescent="0.25">
      <c r="A321" s="27">
        <v>44876</v>
      </c>
      <c r="B321" s="23">
        <v>73</v>
      </c>
      <c r="C321" s="23">
        <v>61</v>
      </c>
      <c r="D321" s="23">
        <v>56</v>
      </c>
      <c r="E321" s="23">
        <v>5</v>
      </c>
      <c r="F321" s="23">
        <v>12</v>
      </c>
      <c r="G321" s="23">
        <v>0</v>
      </c>
      <c r="H321" s="23">
        <v>7</v>
      </c>
      <c r="I321" s="23">
        <v>6</v>
      </c>
      <c r="J321" s="23">
        <v>5</v>
      </c>
      <c r="K321" s="23">
        <v>6</v>
      </c>
      <c r="L321" s="23">
        <v>7</v>
      </c>
      <c r="M321" s="23">
        <v>4</v>
      </c>
      <c r="N321" s="23">
        <v>7</v>
      </c>
      <c r="O321" s="23">
        <v>7</v>
      </c>
      <c r="P321" s="28">
        <v>7</v>
      </c>
    </row>
    <row r="322" spans="1:16" x14ac:dyDescent="0.25">
      <c r="A322" s="27">
        <v>44877</v>
      </c>
      <c r="B322" s="23">
        <v>46</v>
      </c>
      <c r="C322" s="23">
        <v>38</v>
      </c>
      <c r="D322" s="23">
        <v>37</v>
      </c>
      <c r="E322" s="23">
        <v>1</v>
      </c>
      <c r="F322" s="23">
        <v>8</v>
      </c>
      <c r="G322" s="23">
        <v>0</v>
      </c>
      <c r="H322" s="23">
        <v>3</v>
      </c>
      <c r="I322" s="23">
        <v>6</v>
      </c>
      <c r="J322" s="23">
        <v>5</v>
      </c>
      <c r="K322" s="23">
        <v>1</v>
      </c>
      <c r="L322" s="23">
        <v>5</v>
      </c>
      <c r="M322" s="23">
        <v>6</v>
      </c>
      <c r="N322" s="23">
        <v>3</v>
      </c>
      <c r="O322" s="23">
        <v>3</v>
      </c>
      <c r="P322" s="28">
        <v>5</v>
      </c>
    </row>
    <row r="323" spans="1:16" x14ac:dyDescent="0.25">
      <c r="A323" s="27">
        <v>44878</v>
      </c>
      <c r="B323" s="23">
        <v>56</v>
      </c>
      <c r="C323" s="23">
        <v>49</v>
      </c>
      <c r="D323" s="23">
        <v>49</v>
      </c>
      <c r="E323" s="23">
        <v>0</v>
      </c>
      <c r="F323" s="23">
        <v>3</v>
      </c>
      <c r="G323" s="23">
        <v>4</v>
      </c>
      <c r="H323" s="23">
        <v>4</v>
      </c>
      <c r="I323" s="23">
        <v>7</v>
      </c>
      <c r="J323" s="23">
        <v>8</v>
      </c>
      <c r="K323" s="23">
        <v>4</v>
      </c>
      <c r="L323" s="23">
        <v>6</v>
      </c>
      <c r="M323" s="23">
        <v>7</v>
      </c>
      <c r="N323" s="23">
        <v>6</v>
      </c>
      <c r="O323" s="23">
        <v>5</v>
      </c>
      <c r="P323" s="28">
        <v>2</v>
      </c>
    </row>
    <row r="324" spans="1:16" x14ac:dyDescent="0.25">
      <c r="A324" s="27">
        <v>44879</v>
      </c>
      <c r="B324" s="23">
        <v>62</v>
      </c>
      <c r="C324" s="23">
        <v>57</v>
      </c>
      <c r="D324" s="23">
        <v>56</v>
      </c>
      <c r="E324" s="23">
        <v>1</v>
      </c>
      <c r="F324" s="23">
        <v>5</v>
      </c>
      <c r="G324" s="23">
        <v>0</v>
      </c>
      <c r="H324" s="23">
        <v>8</v>
      </c>
      <c r="I324" s="23">
        <v>6</v>
      </c>
      <c r="J324" s="23">
        <v>4</v>
      </c>
      <c r="K324" s="23">
        <v>2</v>
      </c>
      <c r="L324" s="23">
        <v>8</v>
      </c>
      <c r="M324" s="23">
        <v>6</v>
      </c>
      <c r="N324" s="23">
        <v>8</v>
      </c>
      <c r="O324" s="23">
        <v>9</v>
      </c>
      <c r="P324" s="28">
        <v>5</v>
      </c>
    </row>
    <row r="325" spans="1:16" x14ac:dyDescent="0.25">
      <c r="A325" s="27">
        <v>44880</v>
      </c>
      <c r="B325" s="23">
        <v>67</v>
      </c>
      <c r="C325" s="23">
        <v>61</v>
      </c>
      <c r="D325" s="23">
        <v>58</v>
      </c>
      <c r="E325" s="23">
        <v>3</v>
      </c>
      <c r="F325" s="23">
        <v>5</v>
      </c>
      <c r="G325" s="23">
        <v>1</v>
      </c>
      <c r="H325" s="23">
        <v>6</v>
      </c>
      <c r="I325" s="23">
        <v>10</v>
      </c>
      <c r="J325" s="23">
        <v>6</v>
      </c>
      <c r="K325" s="23">
        <v>5</v>
      </c>
      <c r="L325" s="23">
        <v>7</v>
      </c>
      <c r="M325" s="23">
        <v>9</v>
      </c>
      <c r="N325" s="23">
        <v>6</v>
      </c>
      <c r="O325" s="23">
        <v>6</v>
      </c>
      <c r="P325" s="28">
        <v>3</v>
      </c>
    </row>
    <row r="326" spans="1:16" x14ac:dyDescent="0.25">
      <c r="A326" s="27">
        <v>44881</v>
      </c>
      <c r="B326" s="23">
        <v>54</v>
      </c>
      <c r="C326" s="23">
        <v>45</v>
      </c>
      <c r="D326" s="23">
        <v>43</v>
      </c>
      <c r="E326" s="23">
        <v>2</v>
      </c>
      <c r="F326" s="23">
        <v>5</v>
      </c>
      <c r="G326" s="23">
        <v>4</v>
      </c>
      <c r="H326" s="23">
        <v>2</v>
      </c>
      <c r="I326" s="23">
        <v>8</v>
      </c>
      <c r="J326" s="23">
        <v>3</v>
      </c>
      <c r="K326" s="23">
        <v>2</v>
      </c>
      <c r="L326" s="23">
        <v>1</v>
      </c>
      <c r="M326" s="23">
        <v>10</v>
      </c>
      <c r="N326" s="23">
        <v>9</v>
      </c>
      <c r="O326" s="23">
        <v>6</v>
      </c>
      <c r="P326" s="28">
        <v>2</v>
      </c>
    </row>
    <row r="327" spans="1:16" x14ac:dyDescent="0.25">
      <c r="A327" s="27">
        <v>44882</v>
      </c>
      <c r="B327" s="23">
        <v>54</v>
      </c>
      <c r="C327" s="23">
        <v>47</v>
      </c>
      <c r="D327" s="23">
        <v>46</v>
      </c>
      <c r="E327" s="23">
        <v>1</v>
      </c>
      <c r="F327" s="23">
        <v>5</v>
      </c>
      <c r="G327" s="23">
        <v>2</v>
      </c>
      <c r="H327" s="23">
        <v>2</v>
      </c>
      <c r="I327" s="23">
        <v>3</v>
      </c>
      <c r="J327" s="23">
        <v>6</v>
      </c>
      <c r="K327" s="23">
        <v>5</v>
      </c>
      <c r="L327" s="23">
        <v>4</v>
      </c>
      <c r="M327" s="23">
        <v>9</v>
      </c>
      <c r="N327" s="23">
        <v>7</v>
      </c>
      <c r="O327" s="23">
        <v>7</v>
      </c>
      <c r="P327" s="28">
        <v>3</v>
      </c>
    </row>
    <row r="328" spans="1:16" x14ac:dyDescent="0.25">
      <c r="A328" s="27">
        <v>44883</v>
      </c>
      <c r="B328" s="23">
        <v>58</v>
      </c>
      <c r="C328" s="23">
        <v>54</v>
      </c>
      <c r="D328" s="23">
        <v>52</v>
      </c>
      <c r="E328" s="23">
        <v>2</v>
      </c>
      <c r="F328" s="23">
        <v>4</v>
      </c>
      <c r="G328" s="23">
        <v>0</v>
      </c>
      <c r="H328" s="23">
        <v>2</v>
      </c>
      <c r="I328" s="23">
        <v>7</v>
      </c>
      <c r="J328" s="23">
        <v>3</v>
      </c>
      <c r="K328" s="23">
        <v>5</v>
      </c>
      <c r="L328" s="23">
        <v>5</v>
      </c>
      <c r="M328" s="23">
        <v>6</v>
      </c>
      <c r="N328" s="23">
        <v>5</v>
      </c>
      <c r="O328" s="23">
        <v>11</v>
      </c>
      <c r="P328" s="28">
        <v>8</v>
      </c>
    </row>
    <row r="329" spans="1:16" x14ac:dyDescent="0.25">
      <c r="A329" s="27">
        <v>44884</v>
      </c>
      <c r="B329" s="23">
        <v>58</v>
      </c>
      <c r="C329" s="23">
        <v>47</v>
      </c>
      <c r="D329" s="23">
        <v>45</v>
      </c>
      <c r="E329" s="23">
        <v>2</v>
      </c>
      <c r="F329" s="23">
        <v>8</v>
      </c>
      <c r="G329" s="23">
        <v>3</v>
      </c>
      <c r="H329" s="23">
        <v>6</v>
      </c>
      <c r="I329" s="23">
        <v>6</v>
      </c>
      <c r="J329" s="23">
        <v>6</v>
      </c>
      <c r="K329" s="23">
        <v>0</v>
      </c>
      <c r="L329" s="23">
        <v>7</v>
      </c>
      <c r="M329" s="23">
        <v>5</v>
      </c>
      <c r="N329" s="23">
        <v>8</v>
      </c>
      <c r="O329" s="23">
        <v>5</v>
      </c>
      <c r="P329" s="28">
        <v>2</v>
      </c>
    </row>
    <row r="330" spans="1:16" x14ac:dyDescent="0.25">
      <c r="A330" s="27">
        <v>44885</v>
      </c>
      <c r="B330" s="23">
        <v>61</v>
      </c>
      <c r="C330" s="23">
        <v>55</v>
      </c>
      <c r="D330" s="23">
        <v>53</v>
      </c>
      <c r="E330" s="23">
        <v>2</v>
      </c>
      <c r="F330" s="23">
        <v>5</v>
      </c>
      <c r="G330" s="23">
        <v>1</v>
      </c>
      <c r="H330" s="23">
        <v>4</v>
      </c>
      <c r="I330" s="23">
        <v>5</v>
      </c>
      <c r="J330" s="23">
        <v>3</v>
      </c>
      <c r="K330" s="23">
        <v>4</v>
      </c>
      <c r="L330" s="23">
        <v>10</v>
      </c>
      <c r="M330" s="23">
        <v>7</v>
      </c>
      <c r="N330" s="23">
        <v>7</v>
      </c>
      <c r="O330" s="23">
        <v>11</v>
      </c>
      <c r="P330" s="28">
        <v>2</v>
      </c>
    </row>
    <row r="331" spans="1:16" x14ac:dyDescent="0.25">
      <c r="A331" s="27">
        <v>44886</v>
      </c>
      <c r="B331" s="23">
        <v>53</v>
      </c>
      <c r="C331" s="23">
        <v>47</v>
      </c>
      <c r="D331" s="23">
        <v>44</v>
      </c>
      <c r="E331" s="23">
        <v>3</v>
      </c>
      <c r="F331" s="23">
        <v>4</v>
      </c>
      <c r="G331" s="23">
        <v>2</v>
      </c>
      <c r="H331" s="23">
        <v>2</v>
      </c>
      <c r="I331" s="23">
        <v>8</v>
      </c>
      <c r="J331" s="23">
        <v>7</v>
      </c>
      <c r="K331" s="23">
        <v>4</v>
      </c>
      <c r="L331" s="23">
        <v>2</v>
      </c>
      <c r="M331" s="23">
        <v>5</v>
      </c>
      <c r="N331" s="23">
        <v>3</v>
      </c>
      <c r="O331" s="23">
        <v>6</v>
      </c>
      <c r="P331" s="28">
        <v>7</v>
      </c>
    </row>
    <row r="332" spans="1:16" x14ac:dyDescent="0.25">
      <c r="A332" s="27">
        <v>44887</v>
      </c>
      <c r="B332" s="23">
        <v>59</v>
      </c>
      <c r="C332" s="23">
        <v>46</v>
      </c>
      <c r="D332" s="23">
        <v>43</v>
      </c>
      <c r="E332" s="23">
        <v>3</v>
      </c>
      <c r="F332" s="23">
        <v>10</v>
      </c>
      <c r="G332" s="23">
        <v>3</v>
      </c>
      <c r="H332" s="23">
        <v>3</v>
      </c>
      <c r="I332" s="23">
        <v>6</v>
      </c>
      <c r="J332" s="23">
        <v>0</v>
      </c>
      <c r="K332" s="23">
        <v>8</v>
      </c>
      <c r="L332" s="23">
        <v>8</v>
      </c>
      <c r="M332" s="23">
        <v>2</v>
      </c>
      <c r="N332" s="23">
        <v>4</v>
      </c>
      <c r="O332" s="23">
        <v>7</v>
      </c>
      <c r="P332" s="28">
        <v>5</v>
      </c>
    </row>
    <row r="333" spans="1:16" x14ac:dyDescent="0.25">
      <c r="A333" s="27">
        <v>44888</v>
      </c>
      <c r="B333" s="23">
        <v>60</v>
      </c>
      <c r="C333" s="23">
        <v>51</v>
      </c>
      <c r="D333" s="23">
        <v>48</v>
      </c>
      <c r="E333" s="23">
        <v>3</v>
      </c>
      <c r="F333" s="23">
        <v>4</v>
      </c>
      <c r="G333" s="23">
        <v>5</v>
      </c>
      <c r="H333" s="23">
        <v>1</v>
      </c>
      <c r="I333" s="23">
        <v>6</v>
      </c>
      <c r="J333" s="23">
        <v>8</v>
      </c>
      <c r="K333" s="23">
        <v>5</v>
      </c>
      <c r="L333" s="23">
        <v>2</v>
      </c>
      <c r="M333" s="23">
        <v>7</v>
      </c>
      <c r="N333" s="23">
        <v>7</v>
      </c>
      <c r="O333" s="23">
        <v>8</v>
      </c>
      <c r="P333" s="28">
        <v>4</v>
      </c>
    </row>
    <row r="334" spans="1:16" x14ac:dyDescent="0.25">
      <c r="A334" s="27">
        <v>44889</v>
      </c>
      <c r="B334" s="23">
        <v>52</v>
      </c>
      <c r="C334" s="23">
        <v>43</v>
      </c>
      <c r="D334" s="23">
        <v>43</v>
      </c>
      <c r="E334" s="23">
        <v>0</v>
      </c>
      <c r="F334" s="23">
        <v>7</v>
      </c>
      <c r="G334" s="23">
        <v>2</v>
      </c>
      <c r="H334" s="23">
        <v>2</v>
      </c>
      <c r="I334" s="23">
        <v>5</v>
      </c>
      <c r="J334" s="23">
        <v>4</v>
      </c>
      <c r="K334" s="23">
        <v>5</v>
      </c>
      <c r="L334" s="23">
        <v>4</v>
      </c>
      <c r="M334" s="23">
        <v>4</v>
      </c>
      <c r="N334" s="23">
        <v>3</v>
      </c>
      <c r="O334" s="23">
        <v>13</v>
      </c>
      <c r="P334" s="28">
        <v>3</v>
      </c>
    </row>
    <row r="335" spans="1:16" x14ac:dyDescent="0.25">
      <c r="A335" s="27">
        <v>44890</v>
      </c>
      <c r="B335" s="23">
        <v>43</v>
      </c>
      <c r="C335" s="23">
        <v>42</v>
      </c>
      <c r="D335" s="23">
        <v>39</v>
      </c>
      <c r="E335" s="23">
        <v>2</v>
      </c>
      <c r="F335" s="23">
        <v>1</v>
      </c>
      <c r="G335" s="23">
        <v>0</v>
      </c>
      <c r="H335" s="23">
        <v>1</v>
      </c>
      <c r="I335" s="23">
        <v>5</v>
      </c>
      <c r="J335" s="23">
        <v>3</v>
      </c>
      <c r="K335" s="23">
        <v>10</v>
      </c>
      <c r="L335" s="23">
        <v>4</v>
      </c>
      <c r="M335" s="23">
        <v>5</v>
      </c>
      <c r="N335" s="23">
        <v>5</v>
      </c>
      <c r="O335" s="23">
        <v>1</v>
      </c>
      <c r="P335" s="28">
        <v>5</v>
      </c>
    </row>
    <row r="336" spans="1:16" x14ac:dyDescent="0.25">
      <c r="A336" s="27">
        <v>44891</v>
      </c>
      <c r="B336" s="23">
        <v>48</v>
      </c>
      <c r="C336" s="23">
        <v>40</v>
      </c>
      <c r="D336" s="23">
        <v>34</v>
      </c>
      <c r="E336" s="23">
        <v>6</v>
      </c>
      <c r="F336" s="23">
        <v>6</v>
      </c>
      <c r="G336" s="23">
        <v>2</v>
      </c>
      <c r="H336" s="23">
        <v>0</v>
      </c>
      <c r="I336" s="23">
        <v>6</v>
      </c>
      <c r="J336" s="23">
        <v>8</v>
      </c>
      <c r="K336" s="23">
        <v>3</v>
      </c>
      <c r="L336" s="23">
        <v>4</v>
      </c>
      <c r="M336" s="23">
        <v>2</v>
      </c>
      <c r="N336" s="23">
        <v>5</v>
      </c>
      <c r="O336" s="23">
        <v>3</v>
      </c>
      <c r="P336" s="28">
        <v>3</v>
      </c>
    </row>
    <row r="337" spans="1:16" x14ac:dyDescent="0.25">
      <c r="A337" s="27">
        <v>44892</v>
      </c>
      <c r="B337" s="23">
        <v>56</v>
      </c>
      <c r="C337" s="23">
        <v>48</v>
      </c>
      <c r="D337" s="23">
        <v>45</v>
      </c>
      <c r="E337" s="23">
        <v>3</v>
      </c>
      <c r="F337" s="23">
        <v>6</v>
      </c>
      <c r="G337" s="23">
        <v>2</v>
      </c>
      <c r="H337" s="23">
        <v>2</v>
      </c>
      <c r="I337" s="23">
        <v>4</v>
      </c>
      <c r="J337" s="23">
        <v>4</v>
      </c>
      <c r="K337" s="23">
        <v>5</v>
      </c>
      <c r="L337" s="23">
        <v>2</v>
      </c>
      <c r="M337" s="23">
        <v>9</v>
      </c>
      <c r="N337" s="23">
        <v>9</v>
      </c>
      <c r="O337" s="23">
        <v>7</v>
      </c>
      <c r="P337" s="28">
        <v>3</v>
      </c>
    </row>
    <row r="338" spans="1:16" x14ac:dyDescent="0.25">
      <c r="A338" s="27">
        <v>44893</v>
      </c>
      <c r="B338" s="23">
        <v>61</v>
      </c>
      <c r="C338" s="23">
        <v>54</v>
      </c>
      <c r="D338" s="23">
        <v>49</v>
      </c>
      <c r="E338" s="23">
        <v>5</v>
      </c>
      <c r="F338" s="23">
        <v>7</v>
      </c>
      <c r="G338" s="23">
        <v>0</v>
      </c>
      <c r="H338" s="23">
        <v>2</v>
      </c>
      <c r="I338" s="23">
        <v>5</v>
      </c>
      <c r="J338" s="23">
        <v>1</v>
      </c>
      <c r="K338" s="23">
        <v>8</v>
      </c>
      <c r="L338" s="23">
        <v>7</v>
      </c>
      <c r="M338" s="23">
        <v>10</v>
      </c>
      <c r="N338" s="23">
        <v>5</v>
      </c>
      <c r="O338" s="23">
        <v>8</v>
      </c>
      <c r="P338" s="28">
        <v>3</v>
      </c>
    </row>
    <row r="339" spans="1:16" x14ac:dyDescent="0.25">
      <c r="A339" s="27">
        <v>44894</v>
      </c>
      <c r="B339" s="23">
        <v>54</v>
      </c>
      <c r="C339" s="23">
        <v>42</v>
      </c>
      <c r="D339" s="23">
        <v>39</v>
      </c>
      <c r="E339" s="23">
        <v>3</v>
      </c>
      <c r="F339" s="23">
        <v>8</v>
      </c>
      <c r="G339" s="23">
        <v>4</v>
      </c>
      <c r="H339" s="23">
        <v>1</v>
      </c>
      <c r="I339" s="23">
        <v>4</v>
      </c>
      <c r="J339" s="23">
        <v>5</v>
      </c>
      <c r="K339" s="23">
        <v>2</v>
      </c>
      <c r="L339" s="23">
        <v>4</v>
      </c>
      <c r="M339" s="23">
        <v>4</v>
      </c>
      <c r="N339" s="23">
        <v>5</v>
      </c>
      <c r="O339" s="23">
        <v>11</v>
      </c>
      <c r="P339" s="28">
        <v>3</v>
      </c>
    </row>
    <row r="340" spans="1:16" x14ac:dyDescent="0.25">
      <c r="A340" s="27">
        <v>44895</v>
      </c>
      <c r="B340" s="23">
        <v>46</v>
      </c>
      <c r="C340" s="23">
        <v>38</v>
      </c>
      <c r="D340" s="23">
        <v>36</v>
      </c>
      <c r="E340" s="23">
        <v>2</v>
      </c>
      <c r="F340" s="23">
        <v>6</v>
      </c>
      <c r="G340" s="23">
        <v>2</v>
      </c>
      <c r="H340" s="23">
        <v>3</v>
      </c>
      <c r="I340" s="23">
        <v>6</v>
      </c>
      <c r="J340" s="23">
        <v>3</v>
      </c>
      <c r="K340" s="23">
        <v>6</v>
      </c>
      <c r="L340" s="23">
        <v>2</v>
      </c>
      <c r="M340" s="23">
        <v>2</v>
      </c>
      <c r="N340" s="23">
        <v>7</v>
      </c>
      <c r="O340" s="23">
        <v>3</v>
      </c>
      <c r="P340" s="28">
        <v>4</v>
      </c>
    </row>
    <row r="341" spans="1:16" x14ac:dyDescent="0.25">
      <c r="A341" s="27">
        <v>44896</v>
      </c>
      <c r="B341" s="23">
        <v>55</v>
      </c>
      <c r="C341" s="23">
        <v>50</v>
      </c>
      <c r="D341" s="23">
        <v>48</v>
      </c>
      <c r="E341" s="23">
        <v>2</v>
      </c>
      <c r="F341" s="23">
        <v>5</v>
      </c>
      <c r="G341" s="23">
        <v>0</v>
      </c>
      <c r="H341" s="23">
        <v>2</v>
      </c>
      <c r="I341" s="23">
        <v>8</v>
      </c>
      <c r="J341" s="23">
        <v>4</v>
      </c>
      <c r="K341" s="23">
        <v>5</v>
      </c>
      <c r="L341" s="23">
        <v>5</v>
      </c>
      <c r="M341" s="23">
        <v>4</v>
      </c>
      <c r="N341" s="23">
        <v>10</v>
      </c>
      <c r="O341" s="23">
        <v>3</v>
      </c>
      <c r="P341" s="28">
        <v>7</v>
      </c>
    </row>
    <row r="342" spans="1:16" x14ac:dyDescent="0.25">
      <c r="A342" s="27">
        <v>44897</v>
      </c>
      <c r="B342" s="23">
        <v>51</v>
      </c>
      <c r="C342" s="23">
        <v>45</v>
      </c>
      <c r="D342" s="23">
        <v>41</v>
      </c>
      <c r="E342" s="23">
        <v>4</v>
      </c>
      <c r="F342" s="23">
        <v>6</v>
      </c>
      <c r="G342" s="23">
        <v>0</v>
      </c>
      <c r="H342" s="23">
        <v>2</v>
      </c>
      <c r="I342" s="23">
        <v>5</v>
      </c>
      <c r="J342" s="23">
        <v>4</v>
      </c>
      <c r="K342" s="23">
        <v>4</v>
      </c>
      <c r="L342" s="23">
        <v>7</v>
      </c>
      <c r="M342" s="23">
        <v>4</v>
      </c>
      <c r="N342" s="23">
        <v>6</v>
      </c>
      <c r="O342" s="23">
        <v>6</v>
      </c>
      <c r="P342" s="28">
        <v>3</v>
      </c>
    </row>
    <row r="343" spans="1:16" x14ac:dyDescent="0.25">
      <c r="A343" s="27">
        <v>44898</v>
      </c>
      <c r="B343" s="23">
        <v>57</v>
      </c>
      <c r="C343" s="23">
        <v>49</v>
      </c>
      <c r="D343" s="23">
        <v>47</v>
      </c>
      <c r="E343" s="23">
        <v>2</v>
      </c>
      <c r="F343" s="23">
        <v>5</v>
      </c>
      <c r="G343" s="23">
        <v>3</v>
      </c>
      <c r="H343" s="23">
        <v>1</v>
      </c>
      <c r="I343" s="23">
        <v>9</v>
      </c>
      <c r="J343" s="23">
        <v>4</v>
      </c>
      <c r="K343" s="23">
        <v>4</v>
      </c>
      <c r="L343" s="23">
        <v>5</v>
      </c>
      <c r="M343" s="23">
        <v>4</v>
      </c>
      <c r="N343" s="23">
        <v>7</v>
      </c>
      <c r="O343" s="23">
        <v>6</v>
      </c>
      <c r="P343" s="28">
        <v>7</v>
      </c>
    </row>
    <row r="344" spans="1:16" x14ac:dyDescent="0.25">
      <c r="A344" s="27">
        <v>44899</v>
      </c>
      <c r="B344" s="23">
        <v>48</v>
      </c>
      <c r="C344" s="23">
        <v>36</v>
      </c>
      <c r="D344" s="23">
        <v>30</v>
      </c>
      <c r="E344" s="23">
        <v>6</v>
      </c>
      <c r="F344" s="23">
        <v>9</v>
      </c>
      <c r="G344" s="23">
        <v>3</v>
      </c>
      <c r="H344" s="23">
        <v>1</v>
      </c>
      <c r="I344" s="23">
        <v>4</v>
      </c>
      <c r="J344" s="23">
        <v>3</v>
      </c>
      <c r="K344" s="23">
        <v>2</v>
      </c>
      <c r="L344" s="23">
        <v>4</v>
      </c>
      <c r="M344" s="23">
        <v>4</v>
      </c>
      <c r="N344" s="23">
        <v>5</v>
      </c>
      <c r="O344" s="23">
        <v>5</v>
      </c>
      <c r="P344" s="28">
        <v>2</v>
      </c>
    </row>
    <row r="345" spans="1:16" x14ac:dyDescent="0.25">
      <c r="A345" s="27">
        <v>44900</v>
      </c>
      <c r="B345" s="23">
        <v>64</v>
      </c>
      <c r="C345" s="23">
        <v>59</v>
      </c>
      <c r="D345" s="23">
        <v>54</v>
      </c>
      <c r="E345" s="23">
        <v>5</v>
      </c>
      <c r="F345" s="23">
        <v>4</v>
      </c>
      <c r="G345" s="23">
        <v>1</v>
      </c>
      <c r="H345" s="23">
        <v>3</v>
      </c>
      <c r="I345" s="23">
        <v>10</v>
      </c>
      <c r="J345" s="23">
        <v>1</v>
      </c>
      <c r="K345" s="23">
        <v>3</v>
      </c>
      <c r="L345" s="23">
        <v>9</v>
      </c>
      <c r="M345" s="23">
        <v>3</v>
      </c>
      <c r="N345" s="23">
        <v>8</v>
      </c>
      <c r="O345" s="23">
        <v>11</v>
      </c>
      <c r="P345" s="28">
        <v>6</v>
      </c>
    </row>
    <row r="346" spans="1:16" x14ac:dyDescent="0.25">
      <c r="A346" s="27">
        <v>44901</v>
      </c>
      <c r="B346" s="23">
        <v>75</v>
      </c>
      <c r="C346" s="23">
        <v>66</v>
      </c>
      <c r="D346" s="23">
        <v>59</v>
      </c>
      <c r="E346" s="23">
        <v>7</v>
      </c>
      <c r="F346" s="23">
        <v>7</v>
      </c>
      <c r="G346" s="23">
        <v>2</v>
      </c>
      <c r="H346" s="23">
        <v>5</v>
      </c>
      <c r="I346" s="23">
        <v>5</v>
      </c>
      <c r="J346" s="23">
        <v>6</v>
      </c>
      <c r="K346" s="23">
        <v>7</v>
      </c>
      <c r="L346" s="23">
        <v>6</v>
      </c>
      <c r="M346" s="23">
        <v>5</v>
      </c>
      <c r="N346" s="23">
        <v>7</v>
      </c>
      <c r="O346" s="23">
        <v>13</v>
      </c>
      <c r="P346" s="28">
        <v>5</v>
      </c>
    </row>
    <row r="347" spans="1:16" x14ac:dyDescent="0.25">
      <c r="A347" s="27">
        <v>44902</v>
      </c>
      <c r="B347" s="23">
        <v>64</v>
      </c>
      <c r="C347" s="23">
        <v>56</v>
      </c>
      <c r="D347" s="23">
        <v>52</v>
      </c>
      <c r="E347" s="23">
        <v>4</v>
      </c>
      <c r="F347" s="23">
        <v>5</v>
      </c>
      <c r="G347" s="23">
        <v>3</v>
      </c>
      <c r="H347" s="23">
        <v>2</v>
      </c>
      <c r="I347" s="23">
        <v>3</v>
      </c>
      <c r="J347" s="23">
        <v>1</v>
      </c>
      <c r="K347" s="23">
        <v>4</v>
      </c>
      <c r="L347" s="23">
        <v>7</v>
      </c>
      <c r="M347" s="23">
        <v>9</v>
      </c>
      <c r="N347" s="23">
        <v>11</v>
      </c>
      <c r="O347" s="23">
        <v>10</v>
      </c>
      <c r="P347" s="28">
        <v>5</v>
      </c>
    </row>
    <row r="348" spans="1:16" x14ac:dyDescent="0.25">
      <c r="A348" s="27">
        <v>44903</v>
      </c>
      <c r="B348" s="23">
        <v>71</v>
      </c>
      <c r="C348" s="23">
        <v>63</v>
      </c>
      <c r="D348" s="23">
        <v>57</v>
      </c>
      <c r="E348" s="23">
        <v>6</v>
      </c>
      <c r="F348" s="23">
        <v>7</v>
      </c>
      <c r="G348" s="23">
        <v>1</v>
      </c>
      <c r="H348" s="23">
        <v>1</v>
      </c>
      <c r="I348" s="23">
        <v>10</v>
      </c>
      <c r="J348" s="23">
        <v>4</v>
      </c>
      <c r="K348" s="23">
        <v>4</v>
      </c>
      <c r="L348" s="23">
        <v>5</v>
      </c>
      <c r="M348" s="23">
        <v>7</v>
      </c>
      <c r="N348" s="23">
        <v>9</v>
      </c>
      <c r="O348" s="23">
        <v>10</v>
      </c>
      <c r="P348" s="28">
        <v>7</v>
      </c>
    </row>
    <row r="349" spans="1:16" x14ac:dyDescent="0.25">
      <c r="A349" s="27">
        <v>44904</v>
      </c>
      <c r="B349" s="23">
        <v>71</v>
      </c>
      <c r="C349" s="23">
        <v>62</v>
      </c>
      <c r="D349" s="23">
        <v>53</v>
      </c>
      <c r="E349" s="23">
        <v>9</v>
      </c>
      <c r="F349" s="23">
        <v>7</v>
      </c>
      <c r="G349" s="23">
        <v>2</v>
      </c>
      <c r="H349" s="23">
        <v>3</v>
      </c>
      <c r="I349" s="23">
        <v>4</v>
      </c>
      <c r="J349" s="23">
        <v>4</v>
      </c>
      <c r="K349" s="23">
        <v>9</v>
      </c>
      <c r="L349" s="23">
        <v>4</v>
      </c>
      <c r="M349" s="23">
        <v>9</v>
      </c>
      <c r="N349" s="23">
        <v>6</v>
      </c>
      <c r="O349" s="23">
        <v>8</v>
      </c>
      <c r="P349" s="28">
        <v>6</v>
      </c>
    </row>
    <row r="350" spans="1:16" x14ac:dyDescent="0.25">
      <c r="A350" s="27">
        <v>44905</v>
      </c>
      <c r="B350" s="23">
        <v>69</v>
      </c>
      <c r="C350" s="23">
        <v>61</v>
      </c>
      <c r="D350" s="23">
        <v>59</v>
      </c>
      <c r="E350" s="23">
        <v>2</v>
      </c>
      <c r="F350" s="23">
        <v>6</v>
      </c>
      <c r="G350" s="23">
        <v>2</v>
      </c>
      <c r="H350" s="23">
        <v>1</v>
      </c>
      <c r="I350" s="23">
        <v>9</v>
      </c>
      <c r="J350" s="23">
        <v>6</v>
      </c>
      <c r="K350" s="23">
        <v>5</v>
      </c>
      <c r="L350" s="23">
        <v>6</v>
      </c>
      <c r="M350" s="23">
        <v>4</v>
      </c>
      <c r="N350" s="23">
        <v>8</v>
      </c>
      <c r="O350" s="23">
        <v>9</v>
      </c>
      <c r="P350" s="28">
        <v>11</v>
      </c>
    </row>
    <row r="351" spans="1:16" x14ac:dyDescent="0.25">
      <c r="A351" s="27">
        <v>44906</v>
      </c>
      <c r="B351" s="23">
        <v>71</v>
      </c>
      <c r="C351" s="23">
        <v>64</v>
      </c>
      <c r="D351" s="23">
        <v>58</v>
      </c>
      <c r="E351" s="23">
        <v>6</v>
      </c>
      <c r="F351" s="23">
        <v>6</v>
      </c>
      <c r="G351" s="23">
        <v>1</v>
      </c>
      <c r="H351" s="23">
        <v>4</v>
      </c>
      <c r="I351" s="23">
        <v>2</v>
      </c>
      <c r="J351" s="23">
        <v>9</v>
      </c>
      <c r="K351" s="23">
        <v>5</v>
      </c>
      <c r="L351" s="23">
        <v>6</v>
      </c>
      <c r="M351" s="23">
        <v>5</v>
      </c>
      <c r="N351" s="23">
        <v>10</v>
      </c>
      <c r="O351" s="23">
        <v>9</v>
      </c>
      <c r="P351" s="28">
        <v>8</v>
      </c>
    </row>
    <row r="352" spans="1:16" x14ac:dyDescent="0.25">
      <c r="A352" s="27">
        <v>44907</v>
      </c>
      <c r="B352" s="23">
        <v>70</v>
      </c>
      <c r="C352" s="23">
        <v>61</v>
      </c>
      <c r="D352" s="23">
        <v>56</v>
      </c>
      <c r="E352" s="23">
        <v>5</v>
      </c>
      <c r="F352" s="23">
        <v>9</v>
      </c>
      <c r="G352" s="23">
        <v>0</v>
      </c>
      <c r="H352" s="23">
        <v>2</v>
      </c>
      <c r="I352" s="23">
        <v>6</v>
      </c>
      <c r="J352" s="23">
        <v>3</v>
      </c>
      <c r="K352" s="23">
        <v>4</v>
      </c>
      <c r="L352" s="23">
        <v>10</v>
      </c>
      <c r="M352" s="23">
        <v>4</v>
      </c>
      <c r="N352" s="23">
        <v>10</v>
      </c>
      <c r="O352" s="23">
        <v>10</v>
      </c>
      <c r="P352" s="28">
        <v>7</v>
      </c>
    </row>
    <row r="353" spans="1:16" x14ac:dyDescent="0.25">
      <c r="A353" s="27">
        <v>44908</v>
      </c>
      <c r="B353" s="23">
        <v>67</v>
      </c>
      <c r="C353" s="23">
        <v>62</v>
      </c>
      <c r="D353" s="23">
        <v>61</v>
      </c>
      <c r="E353" s="23">
        <v>1</v>
      </c>
      <c r="F353" s="23">
        <v>4</v>
      </c>
      <c r="G353" s="23">
        <v>1</v>
      </c>
      <c r="H353" s="23">
        <v>2</v>
      </c>
      <c r="I353" s="23">
        <v>6</v>
      </c>
      <c r="J353" s="23">
        <v>2</v>
      </c>
      <c r="K353" s="23">
        <v>7</v>
      </c>
      <c r="L353" s="23">
        <v>5</v>
      </c>
      <c r="M353" s="23">
        <v>4</v>
      </c>
      <c r="N353" s="23">
        <v>13</v>
      </c>
      <c r="O353" s="23">
        <v>12</v>
      </c>
      <c r="P353" s="28">
        <v>10</v>
      </c>
    </row>
    <row r="354" spans="1:16" x14ac:dyDescent="0.25">
      <c r="A354" s="27">
        <v>44909</v>
      </c>
      <c r="B354" s="23">
        <v>97</v>
      </c>
      <c r="C354" s="23">
        <v>83</v>
      </c>
      <c r="D354" s="23">
        <v>81</v>
      </c>
      <c r="E354" s="23">
        <v>2</v>
      </c>
      <c r="F354" s="23">
        <v>12</v>
      </c>
      <c r="G354" s="23">
        <v>2</v>
      </c>
      <c r="H354" s="23">
        <v>5</v>
      </c>
      <c r="I354" s="23">
        <v>14</v>
      </c>
      <c r="J354" s="23">
        <v>2</v>
      </c>
      <c r="K354" s="23">
        <v>8</v>
      </c>
      <c r="L354" s="23">
        <v>7</v>
      </c>
      <c r="M354" s="23">
        <v>10</v>
      </c>
      <c r="N354" s="23">
        <v>8</v>
      </c>
      <c r="O354" s="23">
        <v>16</v>
      </c>
      <c r="P354" s="28">
        <v>11</v>
      </c>
    </row>
    <row r="355" spans="1:16" x14ac:dyDescent="0.25">
      <c r="A355" s="27">
        <v>44910</v>
      </c>
      <c r="B355" s="23">
        <v>59</v>
      </c>
      <c r="C355" s="23">
        <v>47</v>
      </c>
      <c r="D355" s="23">
        <v>43</v>
      </c>
      <c r="E355" s="23">
        <v>4</v>
      </c>
      <c r="F355" s="23">
        <v>9</v>
      </c>
      <c r="G355" s="23">
        <v>3</v>
      </c>
      <c r="H355" s="23">
        <v>1</v>
      </c>
      <c r="I355" s="23">
        <v>8</v>
      </c>
      <c r="J355" s="23">
        <v>4</v>
      </c>
      <c r="K355" s="23">
        <v>3</v>
      </c>
      <c r="L355" s="23">
        <v>6</v>
      </c>
      <c r="M355" s="23">
        <v>6</v>
      </c>
      <c r="N355" s="23">
        <v>4</v>
      </c>
      <c r="O355" s="23">
        <v>6</v>
      </c>
      <c r="P355" s="28">
        <v>5</v>
      </c>
    </row>
    <row r="356" spans="1:16" x14ac:dyDescent="0.25">
      <c r="A356" s="27">
        <v>44911</v>
      </c>
      <c r="B356" s="23">
        <v>88</v>
      </c>
      <c r="C356" s="23">
        <v>77</v>
      </c>
      <c r="D356" s="23">
        <v>72</v>
      </c>
      <c r="E356" s="23">
        <v>5</v>
      </c>
      <c r="F356" s="23">
        <v>8</v>
      </c>
      <c r="G356" s="23">
        <v>3</v>
      </c>
      <c r="H356" s="23">
        <v>3</v>
      </c>
      <c r="I356" s="23">
        <v>12</v>
      </c>
      <c r="J356" s="23">
        <v>10</v>
      </c>
      <c r="K356" s="23">
        <v>5</v>
      </c>
      <c r="L356" s="23">
        <v>5</v>
      </c>
      <c r="M356" s="23">
        <v>7</v>
      </c>
      <c r="N356" s="23">
        <v>6</v>
      </c>
      <c r="O356" s="23">
        <v>17</v>
      </c>
      <c r="P356" s="28">
        <v>7</v>
      </c>
    </row>
    <row r="357" spans="1:16" x14ac:dyDescent="0.25">
      <c r="A357" s="27">
        <v>44912</v>
      </c>
      <c r="B357" s="23">
        <v>91</v>
      </c>
      <c r="C357" s="23">
        <v>81</v>
      </c>
      <c r="D357" s="23">
        <v>75</v>
      </c>
      <c r="E357" s="23">
        <v>6</v>
      </c>
      <c r="F357" s="23">
        <v>8</v>
      </c>
      <c r="G357" s="23">
        <v>2</v>
      </c>
      <c r="H357" s="23">
        <v>3</v>
      </c>
      <c r="I357" s="23">
        <v>9</v>
      </c>
      <c r="J357" s="23">
        <v>7</v>
      </c>
      <c r="K357" s="23">
        <v>9</v>
      </c>
      <c r="L357" s="23">
        <v>9</v>
      </c>
      <c r="M357" s="23">
        <v>8</v>
      </c>
      <c r="N357" s="23">
        <v>10</v>
      </c>
      <c r="O357" s="23">
        <v>16</v>
      </c>
      <c r="P357" s="28">
        <v>4</v>
      </c>
    </row>
    <row r="358" spans="1:16" x14ac:dyDescent="0.25">
      <c r="A358" s="27">
        <v>44913</v>
      </c>
      <c r="B358" s="23">
        <v>100</v>
      </c>
      <c r="C358" s="23">
        <v>91</v>
      </c>
      <c r="D358" s="23">
        <v>88</v>
      </c>
      <c r="E358" s="23">
        <v>3</v>
      </c>
      <c r="F358" s="23">
        <v>8</v>
      </c>
      <c r="G358" s="23">
        <v>1</v>
      </c>
      <c r="H358" s="23">
        <v>2</v>
      </c>
      <c r="I358" s="23">
        <v>10</v>
      </c>
      <c r="J358" s="23">
        <v>8</v>
      </c>
      <c r="K358" s="23">
        <v>4</v>
      </c>
      <c r="L358" s="23">
        <v>7</v>
      </c>
      <c r="M358" s="23">
        <v>11</v>
      </c>
      <c r="N358" s="23">
        <v>15</v>
      </c>
      <c r="O358" s="23">
        <v>17</v>
      </c>
      <c r="P358" s="28">
        <v>14</v>
      </c>
    </row>
    <row r="359" spans="1:16" x14ac:dyDescent="0.25">
      <c r="A359" s="27">
        <v>44914</v>
      </c>
      <c r="B359" s="23">
        <v>114</v>
      </c>
      <c r="C359" s="23">
        <v>103</v>
      </c>
      <c r="D359" s="23">
        <v>95</v>
      </c>
      <c r="E359" s="23">
        <v>8</v>
      </c>
      <c r="F359" s="23">
        <v>10</v>
      </c>
      <c r="G359" s="23">
        <v>1</v>
      </c>
      <c r="H359" s="23">
        <v>2</v>
      </c>
      <c r="I359" s="23">
        <v>7</v>
      </c>
      <c r="J359" s="23">
        <v>6</v>
      </c>
      <c r="K359" s="23">
        <v>11</v>
      </c>
      <c r="L359" s="23">
        <v>11</v>
      </c>
      <c r="M359" s="23">
        <v>13</v>
      </c>
      <c r="N359" s="23">
        <v>11</v>
      </c>
      <c r="O359" s="23">
        <v>20</v>
      </c>
      <c r="P359" s="28">
        <v>14</v>
      </c>
    </row>
    <row r="360" spans="1:16" x14ac:dyDescent="0.25">
      <c r="A360" s="27">
        <v>44915</v>
      </c>
      <c r="B360" s="23">
        <v>112</v>
      </c>
      <c r="C360" s="23">
        <v>99</v>
      </c>
      <c r="D360" s="23">
        <v>97</v>
      </c>
      <c r="E360" s="23">
        <v>2</v>
      </c>
      <c r="F360" s="23">
        <v>11</v>
      </c>
      <c r="G360" s="23">
        <v>2</v>
      </c>
      <c r="H360" s="23">
        <v>3</v>
      </c>
      <c r="I360" s="23">
        <v>11</v>
      </c>
      <c r="J360" s="23">
        <v>13</v>
      </c>
      <c r="K360" s="23">
        <v>8</v>
      </c>
      <c r="L360" s="23">
        <v>9</v>
      </c>
      <c r="M360" s="23">
        <v>7</v>
      </c>
      <c r="N360" s="23">
        <v>10</v>
      </c>
      <c r="O360" s="23">
        <v>18</v>
      </c>
      <c r="P360" s="28">
        <v>18</v>
      </c>
    </row>
    <row r="361" spans="1:16" x14ac:dyDescent="0.25">
      <c r="A361" s="27">
        <v>44916</v>
      </c>
      <c r="B361" s="23">
        <v>109</v>
      </c>
      <c r="C361" s="23">
        <v>93</v>
      </c>
      <c r="D361" s="23">
        <v>86</v>
      </c>
      <c r="E361" s="23">
        <v>7</v>
      </c>
      <c r="F361" s="23">
        <v>12</v>
      </c>
      <c r="G361" s="23">
        <v>4</v>
      </c>
      <c r="H361" s="23">
        <v>3</v>
      </c>
      <c r="I361" s="23">
        <v>18</v>
      </c>
      <c r="J361" s="23">
        <v>6</v>
      </c>
      <c r="K361" s="23">
        <v>5</v>
      </c>
      <c r="L361" s="23">
        <v>7</v>
      </c>
      <c r="M361" s="23">
        <v>9</v>
      </c>
      <c r="N361" s="23">
        <v>10</v>
      </c>
      <c r="O361" s="23">
        <v>15</v>
      </c>
      <c r="P361" s="28">
        <v>13</v>
      </c>
    </row>
    <row r="362" spans="1:16" x14ac:dyDescent="0.25">
      <c r="A362" s="27">
        <v>44917</v>
      </c>
      <c r="B362" s="23">
        <v>114</v>
      </c>
      <c r="C362" s="23">
        <v>93</v>
      </c>
      <c r="D362" s="23">
        <v>83</v>
      </c>
      <c r="E362" s="23">
        <v>10</v>
      </c>
      <c r="F362" s="23">
        <v>13</v>
      </c>
      <c r="G362" s="23">
        <v>8</v>
      </c>
      <c r="H362" s="23">
        <v>3</v>
      </c>
      <c r="I362" s="23">
        <v>11</v>
      </c>
      <c r="J362" s="23">
        <v>9</v>
      </c>
      <c r="K362" s="23">
        <v>10</v>
      </c>
      <c r="L362" s="23">
        <v>10</v>
      </c>
      <c r="M362" s="23">
        <v>8</v>
      </c>
      <c r="N362" s="23">
        <v>7</v>
      </c>
      <c r="O362" s="23">
        <v>13</v>
      </c>
      <c r="P362" s="28">
        <v>12</v>
      </c>
    </row>
    <row r="363" spans="1:16" x14ac:dyDescent="0.25">
      <c r="A363" s="27">
        <v>44918</v>
      </c>
      <c r="B363" s="23">
        <v>119</v>
      </c>
      <c r="C363" s="23">
        <v>109</v>
      </c>
      <c r="D363" s="23">
        <v>103</v>
      </c>
      <c r="E363" s="23">
        <v>6</v>
      </c>
      <c r="F363" s="23">
        <v>8</v>
      </c>
      <c r="G363" s="23">
        <v>2</v>
      </c>
      <c r="H363" s="23">
        <v>3</v>
      </c>
      <c r="I363" s="23">
        <v>21</v>
      </c>
      <c r="J363" s="23">
        <v>8</v>
      </c>
      <c r="K363" s="23">
        <v>9</v>
      </c>
      <c r="L363" s="23">
        <v>7</v>
      </c>
      <c r="M363" s="23">
        <v>11</v>
      </c>
      <c r="N363" s="23">
        <v>13</v>
      </c>
      <c r="O363" s="23">
        <v>19</v>
      </c>
      <c r="P363" s="28">
        <v>12</v>
      </c>
    </row>
    <row r="364" spans="1:16" x14ac:dyDescent="0.25">
      <c r="A364" s="27">
        <v>44919</v>
      </c>
      <c r="B364" s="23">
        <v>146</v>
      </c>
      <c r="C364" s="23">
        <v>124</v>
      </c>
      <c r="D364" s="23">
        <v>117</v>
      </c>
      <c r="E364" s="23">
        <v>6</v>
      </c>
      <c r="F364" s="23">
        <v>19</v>
      </c>
      <c r="G364" s="23">
        <v>3</v>
      </c>
      <c r="H364" s="23">
        <v>3</v>
      </c>
      <c r="I364" s="23">
        <v>14</v>
      </c>
      <c r="J364" s="23">
        <v>12</v>
      </c>
      <c r="K364" s="23">
        <v>11</v>
      </c>
      <c r="L364" s="23">
        <v>10</v>
      </c>
      <c r="M364" s="23">
        <v>16</v>
      </c>
      <c r="N364" s="23">
        <v>14</v>
      </c>
      <c r="O364" s="23">
        <v>18</v>
      </c>
      <c r="P364" s="28">
        <v>19</v>
      </c>
    </row>
    <row r="365" spans="1:16" x14ac:dyDescent="0.25">
      <c r="A365" s="27">
        <v>44920</v>
      </c>
      <c r="B365" s="23">
        <v>132</v>
      </c>
      <c r="C365" s="23">
        <v>116</v>
      </c>
      <c r="D365" s="23">
        <v>106</v>
      </c>
      <c r="E365" s="23">
        <v>9</v>
      </c>
      <c r="F365" s="23">
        <v>14</v>
      </c>
      <c r="G365" s="23">
        <v>2</v>
      </c>
      <c r="H365" s="23">
        <v>3</v>
      </c>
      <c r="I365" s="23">
        <v>15</v>
      </c>
      <c r="J365" s="23">
        <v>10</v>
      </c>
      <c r="K365" s="23">
        <v>9</v>
      </c>
      <c r="L365" s="23">
        <v>8</v>
      </c>
      <c r="M365" s="23">
        <v>15</v>
      </c>
      <c r="N365" s="23">
        <v>15</v>
      </c>
      <c r="O365" s="23">
        <v>16</v>
      </c>
      <c r="P365" s="28">
        <v>15</v>
      </c>
    </row>
    <row r="366" spans="1:16" x14ac:dyDescent="0.25">
      <c r="A366" s="27">
        <v>44921</v>
      </c>
      <c r="B366" s="23">
        <v>129</v>
      </c>
      <c r="C366" s="23">
        <v>113</v>
      </c>
      <c r="D366" s="23">
        <v>104</v>
      </c>
      <c r="E366" s="23">
        <v>9</v>
      </c>
      <c r="F366" s="23">
        <v>15</v>
      </c>
      <c r="G366" s="23">
        <v>1</v>
      </c>
      <c r="H366" s="23">
        <v>4</v>
      </c>
      <c r="I366" s="23">
        <v>15</v>
      </c>
      <c r="J366" s="23">
        <v>8</v>
      </c>
      <c r="K366" s="23">
        <v>9</v>
      </c>
      <c r="L366" s="23">
        <v>10</v>
      </c>
      <c r="M366" s="23">
        <v>9</v>
      </c>
      <c r="N366" s="23">
        <v>13</v>
      </c>
      <c r="O366" s="23">
        <v>21</v>
      </c>
      <c r="P366" s="28">
        <v>15</v>
      </c>
    </row>
    <row r="367" spans="1:16" x14ac:dyDescent="0.25">
      <c r="A367" s="27">
        <v>44922</v>
      </c>
      <c r="B367" s="23">
        <v>142</v>
      </c>
      <c r="C367" s="23">
        <v>124</v>
      </c>
      <c r="D367" s="23">
        <v>114</v>
      </c>
      <c r="E367" s="23">
        <v>10</v>
      </c>
      <c r="F367" s="23">
        <v>17</v>
      </c>
      <c r="G367" s="23">
        <v>1</v>
      </c>
      <c r="H367" s="23">
        <v>7</v>
      </c>
      <c r="I367" s="23">
        <v>12</v>
      </c>
      <c r="J367" s="23">
        <v>7</v>
      </c>
      <c r="K367" s="23">
        <v>7</v>
      </c>
      <c r="L367" s="23">
        <v>14</v>
      </c>
      <c r="M367" s="23">
        <v>20</v>
      </c>
      <c r="N367" s="23">
        <v>12</v>
      </c>
      <c r="O367" s="23">
        <v>13</v>
      </c>
      <c r="P367" s="28">
        <v>22</v>
      </c>
    </row>
    <row r="368" spans="1:16" x14ac:dyDescent="0.25">
      <c r="A368" s="27">
        <v>44923</v>
      </c>
      <c r="B368" s="23">
        <v>134</v>
      </c>
      <c r="C368" s="23">
        <v>118</v>
      </c>
      <c r="D368" s="23">
        <v>110</v>
      </c>
      <c r="E368" s="23">
        <v>8</v>
      </c>
      <c r="F368" s="23">
        <v>11</v>
      </c>
      <c r="G368" s="23">
        <v>5</v>
      </c>
      <c r="H368" s="23">
        <v>2</v>
      </c>
      <c r="I368" s="23">
        <v>6</v>
      </c>
      <c r="J368" s="23">
        <v>11</v>
      </c>
      <c r="K368" s="23">
        <v>11</v>
      </c>
      <c r="L368" s="23">
        <v>13</v>
      </c>
      <c r="M368" s="23">
        <v>20</v>
      </c>
      <c r="N368" s="23">
        <v>6</v>
      </c>
      <c r="O368" s="23">
        <v>25</v>
      </c>
      <c r="P368" s="28">
        <v>16</v>
      </c>
    </row>
    <row r="369" spans="1:16" x14ac:dyDescent="0.25">
      <c r="A369" s="27">
        <v>44924</v>
      </c>
      <c r="B369" s="23">
        <v>133</v>
      </c>
      <c r="C369" s="23">
        <v>114</v>
      </c>
      <c r="D369" s="23">
        <v>100</v>
      </c>
      <c r="E369" s="23">
        <v>14</v>
      </c>
      <c r="F369" s="23">
        <v>16</v>
      </c>
      <c r="G369" s="23">
        <v>3</v>
      </c>
      <c r="H369" s="23">
        <v>3</v>
      </c>
      <c r="I369" s="23">
        <v>11</v>
      </c>
      <c r="J369" s="23">
        <v>2</v>
      </c>
      <c r="K369" s="23">
        <v>9</v>
      </c>
      <c r="L369" s="23">
        <v>11</v>
      </c>
      <c r="M369" s="23">
        <v>18</v>
      </c>
      <c r="N369" s="23">
        <v>6</v>
      </c>
      <c r="O369" s="23">
        <v>24</v>
      </c>
      <c r="P369" s="28">
        <v>16</v>
      </c>
    </row>
    <row r="370" spans="1:16" x14ac:dyDescent="0.25">
      <c r="A370" s="27">
        <v>44925</v>
      </c>
      <c r="B370" s="23">
        <v>157</v>
      </c>
      <c r="C370" s="23">
        <v>141</v>
      </c>
      <c r="D370" s="23">
        <v>129</v>
      </c>
      <c r="E370" s="23">
        <v>11</v>
      </c>
      <c r="F370" s="23">
        <v>10</v>
      </c>
      <c r="G370" s="23">
        <v>6</v>
      </c>
      <c r="H370" s="23">
        <v>5</v>
      </c>
      <c r="I370" s="23">
        <v>11</v>
      </c>
      <c r="J370" s="23">
        <v>12</v>
      </c>
      <c r="K370" s="23">
        <v>15</v>
      </c>
      <c r="L370" s="23">
        <v>17</v>
      </c>
      <c r="M370" s="23">
        <v>17</v>
      </c>
      <c r="N370" s="23">
        <v>13</v>
      </c>
      <c r="O370" s="23">
        <v>22</v>
      </c>
      <c r="P370" s="28">
        <v>17</v>
      </c>
    </row>
    <row r="371" spans="1:16" x14ac:dyDescent="0.25">
      <c r="A371" s="27">
        <v>44926</v>
      </c>
      <c r="B371" s="23">
        <v>152</v>
      </c>
      <c r="C371" s="23">
        <v>142</v>
      </c>
      <c r="D371" s="23">
        <v>129</v>
      </c>
      <c r="E371" s="23">
        <v>11</v>
      </c>
      <c r="F371" s="23">
        <v>9</v>
      </c>
      <c r="G371" s="23">
        <v>1</v>
      </c>
      <c r="H371" s="23">
        <v>8</v>
      </c>
      <c r="I371" s="23">
        <v>18</v>
      </c>
      <c r="J371" s="23">
        <v>12</v>
      </c>
      <c r="K371" s="23">
        <v>13</v>
      </c>
      <c r="L371" s="23">
        <v>12</v>
      </c>
      <c r="M371" s="23">
        <v>14</v>
      </c>
      <c r="N371" s="23">
        <v>17</v>
      </c>
      <c r="O371" s="23">
        <v>20</v>
      </c>
      <c r="P371" s="28">
        <v>15</v>
      </c>
    </row>
    <row r="372" spans="1:16" x14ac:dyDescent="0.25">
      <c r="A372" s="27">
        <v>44927</v>
      </c>
      <c r="B372" s="23">
        <v>129</v>
      </c>
      <c r="C372" s="23">
        <v>117</v>
      </c>
      <c r="D372" s="23">
        <v>108</v>
      </c>
      <c r="E372" s="23">
        <v>9</v>
      </c>
      <c r="F372" s="23">
        <v>10</v>
      </c>
      <c r="G372" s="23">
        <v>2</v>
      </c>
      <c r="H372" s="23">
        <v>3</v>
      </c>
      <c r="I372" s="23">
        <v>18</v>
      </c>
      <c r="J372" s="23">
        <v>13</v>
      </c>
      <c r="K372" s="23">
        <v>6</v>
      </c>
      <c r="L372" s="23">
        <v>15</v>
      </c>
      <c r="M372" s="23">
        <v>14</v>
      </c>
      <c r="N372" s="23">
        <v>10</v>
      </c>
      <c r="O372" s="23">
        <v>15</v>
      </c>
      <c r="P372" s="28">
        <v>14</v>
      </c>
    </row>
    <row r="373" spans="1:16" x14ac:dyDescent="0.25">
      <c r="A373" s="27">
        <v>44928</v>
      </c>
      <c r="B373" s="23">
        <v>129</v>
      </c>
      <c r="C373" s="23">
        <v>113</v>
      </c>
      <c r="D373" s="23">
        <v>106</v>
      </c>
      <c r="E373" s="23">
        <v>7</v>
      </c>
      <c r="F373" s="23">
        <v>12</v>
      </c>
      <c r="G373" s="23">
        <v>4</v>
      </c>
      <c r="H373" s="23">
        <v>7</v>
      </c>
      <c r="I373" s="23">
        <v>13</v>
      </c>
      <c r="J373" s="23">
        <v>3</v>
      </c>
      <c r="K373" s="23">
        <v>15</v>
      </c>
      <c r="L373" s="23">
        <v>8</v>
      </c>
      <c r="M373" s="23">
        <v>17</v>
      </c>
      <c r="N373" s="23">
        <v>12</v>
      </c>
      <c r="O373" s="23">
        <v>15</v>
      </c>
      <c r="P373" s="28">
        <v>16</v>
      </c>
    </row>
    <row r="374" spans="1:16" x14ac:dyDescent="0.25">
      <c r="A374" s="27">
        <v>44929</v>
      </c>
      <c r="B374" s="23">
        <v>139</v>
      </c>
      <c r="C374" s="23">
        <v>122</v>
      </c>
      <c r="D374" s="23">
        <v>114</v>
      </c>
      <c r="E374" s="23">
        <v>8</v>
      </c>
      <c r="F374" s="23">
        <v>15</v>
      </c>
      <c r="G374" s="23">
        <v>2</v>
      </c>
      <c r="H374" s="23">
        <v>6</v>
      </c>
      <c r="I374" s="23">
        <v>19</v>
      </c>
      <c r="J374" s="23">
        <v>10</v>
      </c>
      <c r="K374" s="23">
        <v>6</v>
      </c>
      <c r="L374" s="23">
        <v>9</v>
      </c>
      <c r="M374" s="23">
        <v>15</v>
      </c>
      <c r="N374" s="23">
        <v>17</v>
      </c>
      <c r="O374" s="23">
        <v>21</v>
      </c>
      <c r="P374" s="28">
        <v>11</v>
      </c>
    </row>
    <row r="375" spans="1:16" x14ac:dyDescent="0.25">
      <c r="A375" s="27">
        <v>44930</v>
      </c>
      <c r="B375" s="23">
        <v>140</v>
      </c>
      <c r="C375" s="23">
        <v>125</v>
      </c>
      <c r="D375" s="23">
        <v>116</v>
      </c>
      <c r="E375" s="23">
        <v>8</v>
      </c>
      <c r="F375" s="23">
        <v>15</v>
      </c>
      <c r="G375" s="23">
        <v>0</v>
      </c>
      <c r="H375" s="23">
        <v>5</v>
      </c>
      <c r="I375" s="23">
        <v>9</v>
      </c>
      <c r="J375" s="23">
        <v>15</v>
      </c>
      <c r="K375" s="23">
        <v>6</v>
      </c>
      <c r="L375" s="23">
        <v>15</v>
      </c>
      <c r="M375" s="23">
        <v>17</v>
      </c>
      <c r="N375" s="23">
        <v>11</v>
      </c>
      <c r="O375" s="23">
        <v>18</v>
      </c>
      <c r="P375" s="28">
        <v>20</v>
      </c>
    </row>
    <row r="376" spans="1:16" x14ac:dyDescent="0.25">
      <c r="A376" s="27">
        <v>44931</v>
      </c>
      <c r="B376" s="23">
        <v>146</v>
      </c>
      <c r="C376" s="23">
        <v>125</v>
      </c>
      <c r="D376" s="23">
        <v>115</v>
      </c>
      <c r="E376" s="23">
        <v>10</v>
      </c>
      <c r="F376" s="23">
        <v>15</v>
      </c>
      <c r="G376" s="23">
        <v>6</v>
      </c>
      <c r="H376" s="23">
        <v>7</v>
      </c>
      <c r="I376" s="23">
        <v>16</v>
      </c>
      <c r="J376" s="23">
        <v>11</v>
      </c>
      <c r="K376" s="23">
        <v>10</v>
      </c>
      <c r="L376" s="23">
        <v>15</v>
      </c>
      <c r="M376" s="23">
        <v>8</v>
      </c>
      <c r="N376" s="23">
        <v>11</v>
      </c>
      <c r="O376" s="23">
        <v>20</v>
      </c>
      <c r="P376" s="28">
        <v>17</v>
      </c>
    </row>
    <row r="377" spans="1:16" x14ac:dyDescent="0.25">
      <c r="A377" s="27">
        <v>44932</v>
      </c>
      <c r="B377" s="23">
        <v>116</v>
      </c>
      <c r="C377" s="23">
        <v>95</v>
      </c>
      <c r="D377" s="23">
        <v>88</v>
      </c>
      <c r="E377" s="23">
        <v>7</v>
      </c>
      <c r="F377" s="23">
        <v>14</v>
      </c>
      <c r="G377" s="23">
        <v>7</v>
      </c>
      <c r="H377" s="23">
        <v>2</v>
      </c>
      <c r="I377" s="23">
        <v>5</v>
      </c>
      <c r="J377" s="23">
        <v>11</v>
      </c>
      <c r="K377" s="23">
        <v>7</v>
      </c>
      <c r="L377" s="23">
        <v>10</v>
      </c>
      <c r="M377" s="23">
        <v>9</v>
      </c>
      <c r="N377" s="23">
        <v>14</v>
      </c>
      <c r="O377" s="23">
        <v>15</v>
      </c>
      <c r="P377" s="28">
        <v>15</v>
      </c>
    </row>
    <row r="378" spans="1:16" x14ac:dyDescent="0.25">
      <c r="A378" s="27">
        <v>44933</v>
      </c>
      <c r="B378" s="23">
        <v>121</v>
      </c>
      <c r="C378" s="23">
        <v>104</v>
      </c>
      <c r="D378" s="23">
        <v>99</v>
      </c>
      <c r="E378" s="23">
        <v>5</v>
      </c>
      <c r="F378" s="23">
        <v>14</v>
      </c>
      <c r="G378" s="23">
        <v>3</v>
      </c>
      <c r="H378" s="23">
        <v>7</v>
      </c>
      <c r="I378" s="23">
        <v>15</v>
      </c>
      <c r="J378" s="23">
        <v>11</v>
      </c>
      <c r="K378" s="23">
        <v>6</v>
      </c>
      <c r="L378" s="23">
        <v>14</v>
      </c>
      <c r="M378" s="23">
        <v>12</v>
      </c>
      <c r="N378" s="23">
        <v>8</v>
      </c>
      <c r="O378" s="23">
        <v>17</v>
      </c>
      <c r="P378" s="28">
        <v>9</v>
      </c>
    </row>
    <row r="379" spans="1:16" x14ac:dyDescent="0.25">
      <c r="A379" s="27">
        <v>44934</v>
      </c>
      <c r="B379" s="23">
        <v>124</v>
      </c>
      <c r="C379" s="23">
        <v>110</v>
      </c>
      <c r="D379" s="23">
        <v>102</v>
      </c>
      <c r="E379" s="23">
        <v>8</v>
      </c>
      <c r="F379" s="23">
        <v>11</v>
      </c>
      <c r="G379" s="23">
        <v>3</v>
      </c>
      <c r="H379" s="23">
        <v>6</v>
      </c>
      <c r="I379" s="23">
        <v>11</v>
      </c>
      <c r="J379" s="23">
        <v>7</v>
      </c>
      <c r="K379" s="23">
        <v>10</v>
      </c>
      <c r="L379" s="23">
        <v>13</v>
      </c>
      <c r="M379" s="23">
        <v>14</v>
      </c>
      <c r="N379" s="23">
        <v>8</v>
      </c>
      <c r="O379" s="23">
        <v>18</v>
      </c>
      <c r="P379" s="28">
        <v>15</v>
      </c>
    </row>
    <row r="380" spans="1:16" x14ac:dyDescent="0.25">
      <c r="A380" s="27">
        <v>44935</v>
      </c>
      <c r="B380" s="23">
        <v>133</v>
      </c>
      <c r="C380" s="23">
        <v>113</v>
      </c>
      <c r="D380" s="23">
        <v>108</v>
      </c>
      <c r="E380" s="23">
        <v>5</v>
      </c>
      <c r="F380" s="23">
        <v>17</v>
      </c>
      <c r="G380" s="23">
        <v>3</v>
      </c>
      <c r="H380" s="23">
        <v>8</v>
      </c>
      <c r="I380" s="23">
        <v>18</v>
      </c>
      <c r="J380" s="23">
        <v>12</v>
      </c>
      <c r="K380" s="23">
        <v>7</v>
      </c>
      <c r="L380" s="23">
        <v>12</v>
      </c>
      <c r="M380" s="23">
        <v>15</v>
      </c>
      <c r="N380" s="23">
        <v>8</v>
      </c>
      <c r="O380" s="23">
        <v>17</v>
      </c>
      <c r="P380" s="28">
        <v>11</v>
      </c>
    </row>
    <row r="381" spans="1:16" x14ac:dyDescent="0.25">
      <c r="A381" s="27">
        <v>44936</v>
      </c>
      <c r="B381" s="23">
        <v>115</v>
      </c>
      <c r="C381" s="23">
        <v>103</v>
      </c>
      <c r="D381" s="23">
        <v>86</v>
      </c>
      <c r="E381" s="23">
        <v>17</v>
      </c>
      <c r="F381" s="23">
        <v>10</v>
      </c>
      <c r="G381" s="23">
        <v>2</v>
      </c>
      <c r="H381" s="23">
        <v>5</v>
      </c>
      <c r="I381" s="23">
        <v>11</v>
      </c>
      <c r="J381" s="23">
        <v>6</v>
      </c>
      <c r="K381" s="23">
        <v>9</v>
      </c>
      <c r="L381" s="23">
        <v>7</v>
      </c>
      <c r="M381" s="23">
        <v>12</v>
      </c>
      <c r="N381" s="23">
        <v>7</v>
      </c>
      <c r="O381" s="23">
        <v>24</v>
      </c>
      <c r="P381" s="28">
        <v>5</v>
      </c>
    </row>
    <row r="382" spans="1:16" x14ac:dyDescent="0.25">
      <c r="A382" s="27">
        <v>44937</v>
      </c>
      <c r="B382" s="23">
        <v>97</v>
      </c>
      <c r="C382" s="23">
        <v>81</v>
      </c>
      <c r="D382" s="23">
        <v>77</v>
      </c>
      <c r="E382" s="23">
        <v>4</v>
      </c>
      <c r="F382" s="23">
        <v>13</v>
      </c>
      <c r="G382" s="23">
        <v>3</v>
      </c>
      <c r="H382" s="23">
        <v>3</v>
      </c>
      <c r="I382" s="23">
        <v>8</v>
      </c>
      <c r="J382" s="23">
        <v>9</v>
      </c>
      <c r="K382" s="23">
        <v>3</v>
      </c>
      <c r="L382" s="23">
        <v>12</v>
      </c>
      <c r="M382" s="23">
        <v>18</v>
      </c>
      <c r="N382" s="23">
        <v>9</v>
      </c>
      <c r="O382" s="23">
        <v>10</v>
      </c>
      <c r="P382" s="28">
        <v>5</v>
      </c>
    </row>
    <row r="383" spans="1:16" x14ac:dyDescent="0.25">
      <c r="A383" s="27">
        <v>44938</v>
      </c>
      <c r="B383" s="23">
        <v>119</v>
      </c>
      <c r="C383" s="23">
        <v>108</v>
      </c>
      <c r="D383" s="23">
        <v>103</v>
      </c>
      <c r="E383" s="23">
        <v>5</v>
      </c>
      <c r="F383" s="23">
        <v>5</v>
      </c>
      <c r="G383" s="23">
        <v>6</v>
      </c>
      <c r="H383" s="23">
        <v>9</v>
      </c>
      <c r="I383" s="23">
        <v>14</v>
      </c>
      <c r="J383" s="23">
        <v>8</v>
      </c>
      <c r="K383" s="23">
        <v>7</v>
      </c>
      <c r="L383" s="23">
        <v>17</v>
      </c>
      <c r="M383" s="23">
        <v>9</v>
      </c>
      <c r="N383" s="23">
        <v>12</v>
      </c>
      <c r="O383" s="23">
        <v>15</v>
      </c>
      <c r="P383" s="28">
        <v>12</v>
      </c>
    </row>
    <row r="384" spans="1:16" x14ac:dyDescent="0.25">
      <c r="A384" s="27">
        <v>44939</v>
      </c>
      <c r="B384" s="23">
        <v>106</v>
      </c>
      <c r="C384" s="23">
        <v>95</v>
      </c>
      <c r="D384" s="23">
        <v>83</v>
      </c>
      <c r="E384" s="23">
        <v>12</v>
      </c>
      <c r="F384" s="23">
        <v>9</v>
      </c>
      <c r="G384" s="23">
        <v>2</v>
      </c>
      <c r="H384" s="23">
        <v>3</v>
      </c>
      <c r="I384" s="23">
        <v>11</v>
      </c>
      <c r="J384" s="23">
        <v>15</v>
      </c>
      <c r="K384" s="23">
        <v>10</v>
      </c>
      <c r="L384" s="23">
        <v>5</v>
      </c>
      <c r="M384" s="23">
        <v>10</v>
      </c>
      <c r="N384" s="23">
        <v>6</v>
      </c>
      <c r="O384" s="23">
        <v>12</v>
      </c>
      <c r="P384" s="28">
        <v>11</v>
      </c>
    </row>
    <row r="385" spans="1:16" x14ac:dyDescent="0.25">
      <c r="A385" s="27">
        <v>44940</v>
      </c>
      <c r="B385" s="23">
        <v>103</v>
      </c>
      <c r="C385" s="23">
        <v>94</v>
      </c>
      <c r="D385" s="23">
        <v>85</v>
      </c>
      <c r="E385" s="23">
        <v>8</v>
      </c>
      <c r="F385" s="23">
        <v>6</v>
      </c>
      <c r="G385" s="23">
        <v>3</v>
      </c>
      <c r="H385" s="23">
        <v>9</v>
      </c>
      <c r="I385" s="23">
        <v>12</v>
      </c>
      <c r="J385" s="23">
        <v>15</v>
      </c>
      <c r="K385" s="23">
        <v>14</v>
      </c>
      <c r="L385" s="23">
        <v>4</v>
      </c>
      <c r="M385" s="23">
        <v>7</v>
      </c>
      <c r="N385" s="23">
        <v>5</v>
      </c>
      <c r="O385" s="23">
        <v>9</v>
      </c>
      <c r="P385" s="28">
        <v>10</v>
      </c>
    </row>
    <row r="386" spans="1:16" x14ac:dyDescent="0.25">
      <c r="A386" s="27">
        <v>44941</v>
      </c>
      <c r="B386" s="23">
        <v>114</v>
      </c>
      <c r="C386" s="23">
        <v>96</v>
      </c>
      <c r="D386" s="23">
        <v>87</v>
      </c>
      <c r="E386" s="23">
        <v>9</v>
      </c>
      <c r="F386" s="23">
        <v>14</v>
      </c>
      <c r="G386" s="23">
        <v>4</v>
      </c>
      <c r="H386" s="23">
        <v>5</v>
      </c>
      <c r="I386" s="23">
        <v>14</v>
      </c>
      <c r="J386" s="23">
        <v>8</v>
      </c>
      <c r="K386" s="23">
        <v>5</v>
      </c>
      <c r="L386" s="23">
        <v>12</v>
      </c>
      <c r="M386" s="23">
        <v>11</v>
      </c>
      <c r="N386" s="23">
        <v>10</v>
      </c>
      <c r="O386" s="23">
        <v>18</v>
      </c>
      <c r="P386" s="28">
        <v>4</v>
      </c>
    </row>
    <row r="387" spans="1:16" x14ac:dyDescent="0.25">
      <c r="A387" s="27">
        <v>44942</v>
      </c>
      <c r="B387" s="23">
        <v>111</v>
      </c>
      <c r="C387" s="23">
        <v>101</v>
      </c>
      <c r="D387" s="23">
        <v>93</v>
      </c>
      <c r="E387" s="23">
        <v>7</v>
      </c>
      <c r="F387" s="23">
        <v>8</v>
      </c>
      <c r="G387" s="23">
        <v>2</v>
      </c>
      <c r="H387" s="23">
        <v>5</v>
      </c>
      <c r="I387" s="23">
        <v>13</v>
      </c>
      <c r="J387" s="23">
        <v>9</v>
      </c>
      <c r="K387" s="23">
        <v>8</v>
      </c>
      <c r="L387" s="23">
        <v>12</v>
      </c>
      <c r="M387" s="23">
        <v>12</v>
      </c>
      <c r="N387" s="23">
        <v>9</v>
      </c>
      <c r="O387" s="23">
        <v>15</v>
      </c>
      <c r="P387" s="28">
        <v>10</v>
      </c>
    </row>
    <row r="388" spans="1:16" x14ac:dyDescent="0.25">
      <c r="A388" s="27">
        <v>44943</v>
      </c>
      <c r="B388" s="23">
        <v>93</v>
      </c>
      <c r="C388" s="23">
        <v>81</v>
      </c>
      <c r="D388" s="23">
        <v>73</v>
      </c>
      <c r="E388" s="23">
        <v>8</v>
      </c>
      <c r="F388" s="23">
        <v>11</v>
      </c>
      <c r="G388" s="23">
        <v>1</v>
      </c>
      <c r="H388" s="23">
        <v>3</v>
      </c>
      <c r="I388" s="23">
        <v>16</v>
      </c>
      <c r="J388" s="23">
        <v>4</v>
      </c>
      <c r="K388" s="23">
        <v>8</v>
      </c>
      <c r="L388" s="23">
        <v>3</v>
      </c>
      <c r="M388" s="23">
        <v>16</v>
      </c>
      <c r="N388" s="23">
        <v>9</v>
      </c>
      <c r="O388" s="23">
        <v>7</v>
      </c>
      <c r="P388" s="28">
        <v>7</v>
      </c>
    </row>
    <row r="389" spans="1:16" x14ac:dyDescent="0.25">
      <c r="A389" s="27">
        <v>44944</v>
      </c>
      <c r="B389" s="23">
        <v>93</v>
      </c>
      <c r="C389" s="23">
        <v>78</v>
      </c>
      <c r="D389" s="23">
        <v>74</v>
      </c>
      <c r="E389" s="23">
        <v>4</v>
      </c>
      <c r="F389" s="23">
        <v>12</v>
      </c>
      <c r="G389" s="23">
        <v>3</v>
      </c>
      <c r="H389" s="23">
        <v>5</v>
      </c>
      <c r="I389" s="23">
        <v>14</v>
      </c>
      <c r="J389" s="23">
        <v>11</v>
      </c>
      <c r="K389" s="23">
        <v>8</v>
      </c>
      <c r="L389" s="23">
        <v>6</v>
      </c>
      <c r="M389" s="23">
        <v>8</v>
      </c>
      <c r="N389" s="23">
        <v>5</v>
      </c>
      <c r="O389" s="23">
        <v>12</v>
      </c>
      <c r="P389" s="28">
        <v>5</v>
      </c>
    </row>
    <row r="390" spans="1:16" x14ac:dyDescent="0.25">
      <c r="A390" s="27">
        <v>44945</v>
      </c>
      <c r="B390" s="23">
        <v>84</v>
      </c>
      <c r="C390" s="23">
        <v>73</v>
      </c>
      <c r="D390" s="23">
        <v>71</v>
      </c>
      <c r="E390" s="23">
        <v>2</v>
      </c>
      <c r="F390" s="23">
        <v>8</v>
      </c>
      <c r="G390" s="23">
        <v>3</v>
      </c>
      <c r="H390" s="23">
        <v>3</v>
      </c>
      <c r="I390" s="23">
        <v>3</v>
      </c>
      <c r="J390" s="23">
        <v>6</v>
      </c>
      <c r="K390" s="23">
        <v>8</v>
      </c>
      <c r="L390" s="23">
        <v>10</v>
      </c>
      <c r="M390" s="23">
        <v>13</v>
      </c>
      <c r="N390" s="23">
        <v>8</v>
      </c>
      <c r="O390" s="23">
        <v>13</v>
      </c>
      <c r="P390" s="28">
        <v>7</v>
      </c>
    </row>
    <row r="391" spans="1:16" x14ac:dyDescent="0.25">
      <c r="A391" s="27">
        <v>44946</v>
      </c>
      <c r="B391" s="23">
        <v>81</v>
      </c>
      <c r="C391" s="23">
        <v>71</v>
      </c>
      <c r="D391" s="23">
        <v>65</v>
      </c>
      <c r="E391" s="23">
        <v>6</v>
      </c>
      <c r="F391" s="23">
        <v>7</v>
      </c>
      <c r="G391" s="23">
        <v>3</v>
      </c>
      <c r="H391" s="23">
        <v>4</v>
      </c>
      <c r="I391" s="23">
        <v>10</v>
      </c>
      <c r="J391" s="23">
        <v>9</v>
      </c>
      <c r="K391" s="23">
        <v>5</v>
      </c>
      <c r="L391" s="23">
        <v>7</v>
      </c>
      <c r="M391" s="23">
        <v>9</v>
      </c>
      <c r="N391" s="23">
        <v>5</v>
      </c>
      <c r="O391" s="23">
        <v>11</v>
      </c>
      <c r="P391" s="28">
        <v>5</v>
      </c>
    </row>
    <row r="392" spans="1:16" x14ac:dyDescent="0.25">
      <c r="A392" s="27">
        <v>44947</v>
      </c>
      <c r="B392" s="23">
        <v>74</v>
      </c>
      <c r="C392" s="23">
        <v>64</v>
      </c>
      <c r="D392" s="23">
        <v>64</v>
      </c>
      <c r="E392" s="23">
        <v>0</v>
      </c>
      <c r="F392" s="23">
        <v>7</v>
      </c>
      <c r="G392" s="23">
        <v>3</v>
      </c>
      <c r="H392" s="23">
        <v>5</v>
      </c>
      <c r="I392" s="23">
        <v>9</v>
      </c>
      <c r="J392" s="23">
        <v>4</v>
      </c>
      <c r="K392" s="23">
        <v>5</v>
      </c>
      <c r="L392" s="23">
        <v>13</v>
      </c>
      <c r="M392" s="23">
        <v>8</v>
      </c>
      <c r="N392" s="23">
        <v>4</v>
      </c>
      <c r="O392" s="23">
        <v>13</v>
      </c>
      <c r="P392" s="28">
        <v>3</v>
      </c>
    </row>
    <row r="393" spans="1:16" x14ac:dyDescent="0.25">
      <c r="A393" s="27">
        <v>44948</v>
      </c>
      <c r="B393" s="23">
        <v>77</v>
      </c>
      <c r="C393" s="23">
        <v>71</v>
      </c>
      <c r="D393" s="23">
        <v>69</v>
      </c>
      <c r="E393" s="23">
        <v>2</v>
      </c>
      <c r="F393" s="23">
        <v>6</v>
      </c>
      <c r="G393" s="23">
        <v>0</v>
      </c>
      <c r="H393" s="23">
        <v>2</v>
      </c>
      <c r="I393" s="23">
        <v>11</v>
      </c>
      <c r="J393" s="23">
        <v>10</v>
      </c>
      <c r="K393" s="23">
        <v>4</v>
      </c>
      <c r="L393" s="23">
        <v>11</v>
      </c>
      <c r="M393" s="23">
        <v>5</v>
      </c>
      <c r="N393" s="23">
        <v>7</v>
      </c>
      <c r="O393" s="23">
        <v>16</v>
      </c>
      <c r="P393" s="28">
        <v>3</v>
      </c>
    </row>
    <row r="394" spans="1:16" x14ac:dyDescent="0.25">
      <c r="A394" s="27">
        <v>44949</v>
      </c>
      <c r="B394" s="23">
        <v>77</v>
      </c>
      <c r="C394" s="23">
        <v>65</v>
      </c>
      <c r="D394" s="23">
        <v>59</v>
      </c>
      <c r="E394" s="23">
        <v>5</v>
      </c>
      <c r="F394" s="23">
        <v>7</v>
      </c>
      <c r="G394" s="23">
        <v>5</v>
      </c>
      <c r="H394" s="23">
        <v>5</v>
      </c>
      <c r="I394" s="23">
        <v>8</v>
      </c>
      <c r="J394" s="23">
        <v>7</v>
      </c>
      <c r="K394" s="23">
        <v>4</v>
      </c>
      <c r="L394" s="23">
        <v>7</v>
      </c>
      <c r="M394" s="23">
        <v>8</v>
      </c>
      <c r="N394" s="23">
        <v>6</v>
      </c>
      <c r="O394" s="23">
        <v>10</v>
      </c>
      <c r="P394" s="28">
        <v>4</v>
      </c>
    </row>
    <row r="395" spans="1:16" x14ac:dyDescent="0.25">
      <c r="A395" s="27">
        <v>44950</v>
      </c>
      <c r="B395" s="23">
        <v>83</v>
      </c>
      <c r="C395" s="23">
        <v>75</v>
      </c>
      <c r="D395" s="23">
        <v>71</v>
      </c>
      <c r="E395" s="23">
        <v>4</v>
      </c>
      <c r="F395" s="23">
        <v>5</v>
      </c>
      <c r="G395" s="23">
        <v>3</v>
      </c>
      <c r="H395" s="23">
        <v>5</v>
      </c>
      <c r="I395" s="23">
        <v>9</v>
      </c>
      <c r="J395" s="23">
        <v>9</v>
      </c>
      <c r="K395" s="23">
        <v>6</v>
      </c>
      <c r="L395" s="23">
        <v>5</v>
      </c>
      <c r="M395" s="23">
        <v>11</v>
      </c>
      <c r="N395" s="23">
        <v>7</v>
      </c>
      <c r="O395" s="23">
        <v>16</v>
      </c>
      <c r="P395" s="28">
        <v>3</v>
      </c>
    </row>
    <row r="396" spans="1:16" x14ac:dyDescent="0.25">
      <c r="A396" s="27">
        <v>44951</v>
      </c>
      <c r="B396" s="23">
        <v>67</v>
      </c>
      <c r="C396" s="23">
        <v>57</v>
      </c>
      <c r="D396" s="23">
        <v>54</v>
      </c>
      <c r="E396" s="23">
        <v>3</v>
      </c>
      <c r="F396" s="23">
        <v>7</v>
      </c>
      <c r="G396" s="23">
        <v>3</v>
      </c>
      <c r="H396" s="23">
        <v>1</v>
      </c>
      <c r="I396" s="23">
        <v>8</v>
      </c>
      <c r="J396" s="23">
        <v>7</v>
      </c>
      <c r="K396" s="23">
        <v>8</v>
      </c>
      <c r="L396" s="23">
        <v>4</v>
      </c>
      <c r="M396" s="23">
        <v>8</v>
      </c>
      <c r="N396" s="23">
        <v>4</v>
      </c>
      <c r="O396" s="23">
        <v>6</v>
      </c>
      <c r="P396" s="28">
        <v>8</v>
      </c>
    </row>
    <row r="397" spans="1:16" x14ac:dyDescent="0.25">
      <c r="A397" s="27">
        <v>44952</v>
      </c>
      <c r="B397" s="23">
        <v>72</v>
      </c>
      <c r="C397" s="23">
        <v>64</v>
      </c>
      <c r="D397" s="23">
        <v>63</v>
      </c>
      <c r="E397" s="23">
        <v>1</v>
      </c>
      <c r="F397" s="23">
        <v>4</v>
      </c>
      <c r="G397" s="23">
        <v>4</v>
      </c>
      <c r="H397" s="23">
        <v>2</v>
      </c>
      <c r="I397" s="23">
        <v>10</v>
      </c>
      <c r="J397" s="23">
        <v>1</v>
      </c>
      <c r="K397" s="23">
        <v>4</v>
      </c>
      <c r="L397" s="23">
        <v>7</v>
      </c>
      <c r="M397" s="23">
        <v>17</v>
      </c>
      <c r="N397" s="23">
        <v>6</v>
      </c>
      <c r="O397" s="23">
        <v>13</v>
      </c>
      <c r="P397" s="28">
        <v>3</v>
      </c>
    </row>
    <row r="398" spans="1:16" x14ac:dyDescent="0.25">
      <c r="A398" s="27">
        <v>44953</v>
      </c>
      <c r="B398" s="23">
        <v>78</v>
      </c>
      <c r="C398" s="23">
        <v>71</v>
      </c>
      <c r="D398" s="23">
        <v>68</v>
      </c>
      <c r="E398" s="23">
        <v>3</v>
      </c>
      <c r="F398" s="23">
        <v>4</v>
      </c>
      <c r="G398" s="23">
        <v>3</v>
      </c>
      <c r="H398" s="23">
        <v>1</v>
      </c>
      <c r="I398" s="23">
        <v>13</v>
      </c>
      <c r="J398" s="23">
        <v>6</v>
      </c>
      <c r="K398" s="23">
        <v>6</v>
      </c>
      <c r="L398" s="23">
        <v>10</v>
      </c>
      <c r="M398" s="23">
        <v>11</v>
      </c>
      <c r="N398" s="23">
        <v>10</v>
      </c>
      <c r="O398" s="23">
        <v>9</v>
      </c>
      <c r="P398" s="28">
        <v>2</v>
      </c>
    </row>
    <row r="399" spans="1:16" x14ac:dyDescent="0.25">
      <c r="A399" s="27">
        <v>44954</v>
      </c>
      <c r="B399" s="23">
        <v>73</v>
      </c>
      <c r="C399" s="23">
        <v>68</v>
      </c>
      <c r="D399" s="23">
        <v>62</v>
      </c>
      <c r="E399" s="23">
        <v>6</v>
      </c>
      <c r="F399" s="23">
        <v>3</v>
      </c>
      <c r="G399" s="23">
        <v>2</v>
      </c>
      <c r="H399" s="23">
        <v>6</v>
      </c>
      <c r="I399" s="23">
        <v>8</v>
      </c>
      <c r="J399" s="23">
        <v>9</v>
      </c>
      <c r="K399" s="23">
        <v>7</v>
      </c>
      <c r="L399" s="23">
        <v>6</v>
      </c>
      <c r="M399" s="23">
        <v>10</v>
      </c>
      <c r="N399" s="23">
        <v>4</v>
      </c>
      <c r="O399" s="23">
        <v>8</v>
      </c>
      <c r="P399" s="28">
        <v>4</v>
      </c>
    </row>
    <row r="400" spans="1:16" x14ac:dyDescent="0.25">
      <c r="A400" s="27">
        <v>44955</v>
      </c>
      <c r="B400" s="23">
        <v>77</v>
      </c>
      <c r="C400" s="23">
        <v>70</v>
      </c>
      <c r="D400" s="23">
        <v>64</v>
      </c>
      <c r="E400" s="23">
        <v>6</v>
      </c>
      <c r="F400" s="23">
        <v>5</v>
      </c>
      <c r="G400" s="23">
        <v>2</v>
      </c>
      <c r="H400" s="23">
        <v>3</v>
      </c>
      <c r="I400" s="23">
        <v>9</v>
      </c>
      <c r="J400" s="23">
        <v>1</v>
      </c>
      <c r="K400" s="23">
        <v>7</v>
      </c>
      <c r="L400" s="23">
        <v>7</v>
      </c>
      <c r="M400" s="23">
        <v>17</v>
      </c>
      <c r="N400" s="23">
        <v>5</v>
      </c>
      <c r="O400" s="23">
        <v>10</v>
      </c>
      <c r="P400" s="28">
        <v>5</v>
      </c>
    </row>
    <row r="401" spans="1:16" x14ac:dyDescent="0.25">
      <c r="A401" s="27">
        <v>44956</v>
      </c>
      <c r="B401" s="23">
        <v>60</v>
      </c>
      <c r="C401" s="23">
        <v>57</v>
      </c>
      <c r="D401" s="23">
        <v>55</v>
      </c>
      <c r="E401" s="23">
        <v>2</v>
      </c>
      <c r="F401" s="23">
        <v>3</v>
      </c>
      <c r="G401" s="23">
        <v>0</v>
      </c>
      <c r="H401" s="23">
        <v>4</v>
      </c>
      <c r="I401" s="23">
        <v>5</v>
      </c>
      <c r="J401" s="23">
        <v>5</v>
      </c>
      <c r="K401" s="23">
        <v>2</v>
      </c>
      <c r="L401" s="23">
        <v>8</v>
      </c>
      <c r="M401" s="23">
        <v>10</v>
      </c>
      <c r="N401" s="23">
        <v>8</v>
      </c>
      <c r="O401" s="23">
        <v>9</v>
      </c>
      <c r="P401" s="28">
        <v>4</v>
      </c>
    </row>
    <row r="402" spans="1:16" x14ac:dyDescent="0.25">
      <c r="A402" s="27">
        <v>44957</v>
      </c>
      <c r="B402" s="23">
        <v>63</v>
      </c>
      <c r="C402" s="23">
        <v>57</v>
      </c>
      <c r="D402" s="23">
        <v>56</v>
      </c>
      <c r="E402" s="23">
        <v>1</v>
      </c>
      <c r="F402" s="23">
        <v>4</v>
      </c>
      <c r="G402" s="23">
        <v>2</v>
      </c>
      <c r="H402" s="23">
        <v>3</v>
      </c>
      <c r="I402" s="23">
        <v>8</v>
      </c>
      <c r="J402" s="23">
        <v>4</v>
      </c>
      <c r="K402" s="23">
        <v>2</v>
      </c>
      <c r="L402" s="23">
        <v>13</v>
      </c>
      <c r="M402" s="23">
        <v>8</v>
      </c>
      <c r="N402" s="23">
        <v>1</v>
      </c>
      <c r="O402" s="23">
        <v>13</v>
      </c>
      <c r="P402" s="28">
        <v>4</v>
      </c>
    </row>
    <row r="403" spans="1:16" x14ac:dyDescent="0.25">
      <c r="A403" s="27">
        <v>44958</v>
      </c>
      <c r="B403" s="23">
        <v>70</v>
      </c>
      <c r="C403" s="23">
        <v>63</v>
      </c>
      <c r="D403" s="23">
        <v>59</v>
      </c>
      <c r="E403" s="23">
        <v>4</v>
      </c>
      <c r="F403" s="23">
        <v>6</v>
      </c>
      <c r="G403" s="23">
        <v>1</v>
      </c>
      <c r="H403" s="23">
        <v>2</v>
      </c>
      <c r="I403" s="23">
        <v>10</v>
      </c>
      <c r="J403" s="23">
        <v>9</v>
      </c>
      <c r="K403" s="23">
        <v>3</v>
      </c>
      <c r="L403" s="23">
        <v>8</v>
      </c>
      <c r="M403" s="23">
        <v>4</v>
      </c>
      <c r="N403" s="23">
        <v>6</v>
      </c>
      <c r="O403" s="23">
        <v>15</v>
      </c>
      <c r="P403" s="28">
        <v>2</v>
      </c>
    </row>
    <row r="404" spans="1:16" x14ac:dyDescent="0.25">
      <c r="A404" s="27">
        <v>44959</v>
      </c>
      <c r="B404" s="23">
        <v>76</v>
      </c>
      <c r="C404" s="23">
        <v>69</v>
      </c>
      <c r="D404" s="23">
        <v>69</v>
      </c>
      <c r="E404" s="23">
        <v>0</v>
      </c>
      <c r="F404" s="23">
        <v>5</v>
      </c>
      <c r="G404" s="23">
        <v>2</v>
      </c>
      <c r="H404" s="23">
        <v>2</v>
      </c>
      <c r="I404" s="23">
        <v>11</v>
      </c>
      <c r="J404" s="23">
        <v>4</v>
      </c>
      <c r="K404" s="23">
        <v>5</v>
      </c>
      <c r="L404" s="23">
        <v>9</v>
      </c>
      <c r="M404" s="23">
        <v>13</v>
      </c>
      <c r="N404" s="23">
        <v>6</v>
      </c>
      <c r="O404" s="23">
        <v>13</v>
      </c>
      <c r="P404" s="28">
        <v>6</v>
      </c>
    </row>
    <row r="405" spans="1:16" x14ac:dyDescent="0.25">
      <c r="A405" s="27">
        <v>44960</v>
      </c>
      <c r="B405" s="23">
        <v>70</v>
      </c>
      <c r="C405" s="23">
        <v>59</v>
      </c>
      <c r="D405" s="23">
        <v>57</v>
      </c>
      <c r="E405" s="23">
        <v>2</v>
      </c>
      <c r="F405" s="23">
        <v>5</v>
      </c>
      <c r="G405" s="23">
        <v>6</v>
      </c>
      <c r="H405" s="23">
        <v>2</v>
      </c>
      <c r="I405" s="23">
        <v>3</v>
      </c>
      <c r="J405" s="23">
        <v>4</v>
      </c>
      <c r="K405" s="23">
        <v>5</v>
      </c>
      <c r="L405" s="23">
        <v>5</v>
      </c>
      <c r="M405" s="23">
        <v>10</v>
      </c>
      <c r="N405" s="23">
        <v>8</v>
      </c>
      <c r="O405" s="23">
        <v>13</v>
      </c>
      <c r="P405" s="28">
        <v>7</v>
      </c>
    </row>
    <row r="406" spans="1:16" x14ac:dyDescent="0.25">
      <c r="A406" s="27">
        <v>44961</v>
      </c>
      <c r="B406" s="23">
        <v>66</v>
      </c>
      <c r="C406" s="23">
        <v>54</v>
      </c>
      <c r="D406" s="23">
        <v>52</v>
      </c>
      <c r="E406" s="23">
        <v>2</v>
      </c>
      <c r="F406" s="23">
        <v>8</v>
      </c>
      <c r="G406" s="23">
        <v>4</v>
      </c>
      <c r="H406" s="23">
        <v>6</v>
      </c>
      <c r="I406" s="23">
        <v>6</v>
      </c>
      <c r="J406" s="23">
        <v>6</v>
      </c>
      <c r="K406" s="23">
        <v>2</v>
      </c>
      <c r="L406" s="23">
        <v>4</v>
      </c>
      <c r="M406" s="23">
        <v>8</v>
      </c>
      <c r="N406" s="23">
        <v>4</v>
      </c>
      <c r="O406" s="23">
        <v>12</v>
      </c>
      <c r="P406" s="28">
        <v>4</v>
      </c>
    </row>
    <row r="407" spans="1:16" x14ac:dyDescent="0.25">
      <c r="A407" s="27">
        <v>44962</v>
      </c>
      <c r="B407" s="23">
        <v>73</v>
      </c>
      <c r="C407" s="23">
        <v>66</v>
      </c>
      <c r="D407" s="23">
        <v>65</v>
      </c>
      <c r="E407" s="23">
        <v>1</v>
      </c>
      <c r="F407" s="23">
        <v>6</v>
      </c>
      <c r="G407" s="23">
        <v>1</v>
      </c>
      <c r="H407" s="23">
        <v>1</v>
      </c>
      <c r="I407" s="23">
        <v>8</v>
      </c>
      <c r="J407" s="23">
        <v>6</v>
      </c>
      <c r="K407" s="23">
        <v>3</v>
      </c>
      <c r="L407" s="23">
        <v>11</v>
      </c>
      <c r="M407" s="23">
        <v>12</v>
      </c>
      <c r="N407" s="23">
        <v>3</v>
      </c>
      <c r="O407" s="23">
        <v>14</v>
      </c>
      <c r="P407" s="28">
        <v>7</v>
      </c>
    </row>
    <row r="408" spans="1:16" x14ac:dyDescent="0.25">
      <c r="A408" s="27">
        <v>44963</v>
      </c>
      <c r="B408" s="23">
        <v>56</v>
      </c>
      <c r="C408" s="23">
        <v>51</v>
      </c>
      <c r="D408" s="23">
        <v>48</v>
      </c>
      <c r="E408" s="23">
        <v>3</v>
      </c>
      <c r="F408" s="23">
        <v>4</v>
      </c>
      <c r="G408" s="23">
        <v>1</v>
      </c>
      <c r="H408" s="23">
        <v>0</v>
      </c>
      <c r="I408" s="23">
        <v>2</v>
      </c>
      <c r="J408" s="23">
        <v>5</v>
      </c>
      <c r="K408" s="23">
        <v>6</v>
      </c>
      <c r="L408" s="23">
        <v>7</v>
      </c>
      <c r="M408" s="23">
        <v>9</v>
      </c>
      <c r="N408" s="23">
        <v>8</v>
      </c>
      <c r="O408" s="23">
        <v>8</v>
      </c>
      <c r="P408" s="28">
        <v>3</v>
      </c>
    </row>
    <row r="409" spans="1:16" x14ac:dyDescent="0.25">
      <c r="A409" s="27">
        <v>44964</v>
      </c>
      <c r="B409" s="23">
        <v>68</v>
      </c>
      <c r="C409" s="23">
        <v>63</v>
      </c>
      <c r="D409" s="23">
        <v>59</v>
      </c>
      <c r="E409" s="23">
        <v>2</v>
      </c>
      <c r="F409" s="23">
        <v>4</v>
      </c>
      <c r="G409" s="23">
        <v>1</v>
      </c>
      <c r="H409" s="23">
        <v>3</v>
      </c>
      <c r="I409" s="23">
        <v>3</v>
      </c>
      <c r="J409" s="23">
        <v>9</v>
      </c>
      <c r="K409" s="23">
        <v>5</v>
      </c>
      <c r="L409" s="23">
        <v>11</v>
      </c>
      <c r="M409" s="23">
        <v>5</v>
      </c>
      <c r="N409" s="23">
        <v>6</v>
      </c>
      <c r="O409" s="23">
        <v>11</v>
      </c>
      <c r="P409" s="28">
        <v>6</v>
      </c>
    </row>
    <row r="410" spans="1:16" x14ac:dyDescent="0.25">
      <c r="A410" s="27">
        <v>44965</v>
      </c>
      <c r="B410" s="23">
        <v>72</v>
      </c>
      <c r="C410" s="23">
        <v>64</v>
      </c>
      <c r="D410" s="23">
        <v>63</v>
      </c>
      <c r="E410" s="23">
        <v>1</v>
      </c>
      <c r="F410" s="23">
        <v>6</v>
      </c>
      <c r="G410" s="23">
        <v>2</v>
      </c>
      <c r="H410" s="23">
        <v>6</v>
      </c>
      <c r="I410" s="23">
        <v>10</v>
      </c>
      <c r="J410" s="23">
        <v>3</v>
      </c>
      <c r="K410" s="23">
        <v>4</v>
      </c>
      <c r="L410" s="23">
        <v>9</v>
      </c>
      <c r="M410" s="23">
        <v>14</v>
      </c>
      <c r="N410" s="23">
        <v>5</v>
      </c>
      <c r="O410" s="23">
        <v>8</v>
      </c>
      <c r="P410" s="28">
        <v>4</v>
      </c>
    </row>
    <row r="411" spans="1:16" x14ac:dyDescent="0.25">
      <c r="A411" s="27">
        <v>44966</v>
      </c>
      <c r="B411" s="23">
        <v>64</v>
      </c>
      <c r="C411" s="23">
        <v>53</v>
      </c>
      <c r="D411" s="23">
        <v>49</v>
      </c>
      <c r="E411" s="23">
        <v>4</v>
      </c>
      <c r="F411" s="23">
        <v>8</v>
      </c>
      <c r="G411" s="23">
        <v>3</v>
      </c>
      <c r="H411" s="23">
        <v>4</v>
      </c>
      <c r="I411" s="23">
        <v>6</v>
      </c>
      <c r="J411" s="23">
        <v>4</v>
      </c>
      <c r="K411" s="23">
        <v>4</v>
      </c>
      <c r="L411" s="23">
        <v>7</v>
      </c>
      <c r="M411" s="23">
        <v>11</v>
      </c>
      <c r="N411" s="23">
        <v>2</v>
      </c>
      <c r="O411" s="23">
        <v>7</v>
      </c>
      <c r="P411" s="28">
        <v>4</v>
      </c>
    </row>
    <row r="412" spans="1:16" x14ac:dyDescent="0.25">
      <c r="A412" s="27">
        <v>44967</v>
      </c>
      <c r="B412" s="23">
        <v>74</v>
      </c>
      <c r="C412" s="23">
        <v>69</v>
      </c>
      <c r="D412" s="23">
        <v>67</v>
      </c>
      <c r="E412" s="23">
        <v>2</v>
      </c>
      <c r="F412" s="23">
        <v>4</v>
      </c>
      <c r="G412" s="23">
        <v>1</v>
      </c>
      <c r="H412" s="23">
        <v>10</v>
      </c>
      <c r="I412" s="23">
        <v>9</v>
      </c>
      <c r="J412" s="23">
        <v>6</v>
      </c>
      <c r="K412" s="23">
        <v>12</v>
      </c>
      <c r="L412" s="23">
        <v>8</v>
      </c>
      <c r="M412" s="23">
        <v>9</v>
      </c>
      <c r="N412" s="23">
        <v>1</v>
      </c>
      <c r="O412" s="23">
        <v>10</v>
      </c>
      <c r="P412" s="28">
        <v>2</v>
      </c>
    </row>
    <row r="413" spans="1:16" x14ac:dyDescent="0.25">
      <c r="A413" s="27">
        <v>44968</v>
      </c>
      <c r="B413" s="23">
        <v>60</v>
      </c>
      <c r="C413" s="23">
        <v>57</v>
      </c>
      <c r="D413" s="23">
        <v>56</v>
      </c>
      <c r="E413" s="23">
        <v>1</v>
      </c>
      <c r="F413" s="23">
        <v>2</v>
      </c>
      <c r="G413" s="23">
        <v>1</v>
      </c>
      <c r="H413" s="23">
        <v>5</v>
      </c>
      <c r="I413" s="23">
        <v>6</v>
      </c>
      <c r="J413" s="23">
        <v>4</v>
      </c>
      <c r="K413" s="23">
        <v>8</v>
      </c>
      <c r="L413" s="23">
        <v>9</v>
      </c>
      <c r="M413" s="23">
        <v>9</v>
      </c>
      <c r="N413" s="23">
        <v>5</v>
      </c>
      <c r="O413" s="23">
        <v>7</v>
      </c>
      <c r="P413" s="28">
        <v>3</v>
      </c>
    </row>
    <row r="414" spans="1:16" x14ac:dyDescent="0.25">
      <c r="A414" s="27">
        <v>44969</v>
      </c>
      <c r="B414" s="23">
        <v>70</v>
      </c>
      <c r="C414" s="23">
        <v>57</v>
      </c>
      <c r="D414" s="23">
        <v>55</v>
      </c>
      <c r="E414" s="23">
        <v>1</v>
      </c>
      <c r="F414" s="23">
        <v>11</v>
      </c>
      <c r="G414" s="23">
        <v>2</v>
      </c>
      <c r="H414" s="23">
        <v>6</v>
      </c>
      <c r="I414" s="23">
        <v>7</v>
      </c>
      <c r="J414" s="23">
        <v>7</v>
      </c>
      <c r="K414" s="23">
        <v>3</v>
      </c>
      <c r="L414" s="23">
        <v>10</v>
      </c>
      <c r="M414" s="23">
        <v>5</v>
      </c>
      <c r="N414" s="23">
        <v>4</v>
      </c>
      <c r="O414" s="23">
        <v>6</v>
      </c>
      <c r="P414" s="28">
        <v>7</v>
      </c>
    </row>
    <row r="415" spans="1:16" x14ac:dyDescent="0.25">
      <c r="A415" s="27">
        <v>44970</v>
      </c>
      <c r="B415" s="23">
        <v>54</v>
      </c>
      <c r="C415" s="23">
        <v>49</v>
      </c>
      <c r="D415" s="23">
        <v>46</v>
      </c>
      <c r="E415" s="23">
        <v>3</v>
      </c>
      <c r="F415" s="23">
        <v>5</v>
      </c>
      <c r="G415" s="23">
        <v>0</v>
      </c>
      <c r="H415" s="23">
        <v>5</v>
      </c>
      <c r="I415" s="23">
        <v>8</v>
      </c>
      <c r="J415" s="23">
        <v>1</v>
      </c>
      <c r="K415" s="23">
        <v>1</v>
      </c>
      <c r="L415" s="23">
        <v>5</v>
      </c>
      <c r="M415" s="23">
        <v>8</v>
      </c>
      <c r="N415" s="23">
        <v>6</v>
      </c>
      <c r="O415" s="23">
        <v>8</v>
      </c>
      <c r="P415" s="28">
        <v>4</v>
      </c>
    </row>
    <row r="416" spans="1:16" x14ac:dyDescent="0.25">
      <c r="A416" s="27">
        <v>44971</v>
      </c>
      <c r="B416" s="23">
        <v>77</v>
      </c>
      <c r="C416" s="23">
        <v>70</v>
      </c>
      <c r="D416" s="23">
        <v>69</v>
      </c>
      <c r="E416" s="23">
        <v>1</v>
      </c>
      <c r="F416" s="23">
        <v>5</v>
      </c>
      <c r="G416" s="23">
        <v>2</v>
      </c>
      <c r="H416" s="23">
        <v>0</v>
      </c>
      <c r="I416" s="23">
        <v>6</v>
      </c>
      <c r="J416" s="23">
        <v>10</v>
      </c>
      <c r="K416" s="23">
        <v>6</v>
      </c>
      <c r="L416" s="23">
        <v>12</v>
      </c>
      <c r="M416" s="23">
        <v>12</v>
      </c>
      <c r="N416" s="23">
        <v>6</v>
      </c>
      <c r="O416" s="23">
        <v>9</v>
      </c>
      <c r="P416" s="28">
        <v>8</v>
      </c>
    </row>
    <row r="417" spans="1:16" x14ac:dyDescent="0.25">
      <c r="A417" s="27">
        <v>44972</v>
      </c>
      <c r="B417" s="23">
        <v>71</v>
      </c>
      <c r="C417" s="23">
        <v>61</v>
      </c>
      <c r="D417" s="23">
        <v>55</v>
      </c>
      <c r="E417" s="23">
        <v>6</v>
      </c>
      <c r="F417" s="23">
        <v>10</v>
      </c>
      <c r="G417" s="23">
        <v>0</v>
      </c>
      <c r="H417" s="23">
        <v>4</v>
      </c>
      <c r="I417" s="23">
        <v>6</v>
      </c>
      <c r="J417" s="23">
        <v>8</v>
      </c>
      <c r="K417" s="23">
        <v>3</v>
      </c>
      <c r="L417" s="23">
        <v>3</v>
      </c>
      <c r="M417" s="23">
        <v>10</v>
      </c>
      <c r="N417" s="23">
        <v>6</v>
      </c>
      <c r="O417" s="23">
        <v>10</v>
      </c>
      <c r="P417" s="28">
        <v>5</v>
      </c>
    </row>
    <row r="418" spans="1:16" x14ac:dyDescent="0.25">
      <c r="A418" s="27">
        <v>44973</v>
      </c>
      <c r="B418" s="23">
        <v>75</v>
      </c>
      <c r="C418" s="23">
        <v>69</v>
      </c>
      <c r="D418" s="23">
        <v>67</v>
      </c>
      <c r="E418" s="23">
        <v>2</v>
      </c>
      <c r="F418" s="23">
        <v>6</v>
      </c>
      <c r="G418" s="23">
        <v>0</v>
      </c>
      <c r="H418" s="23">
        <v>8</v>
      </c>
      <c r="I418" s="23">
        <v>12</v>
      </c>
      <c r="J418" s="23">
        <v>3</v>
      </c>
      <c r="K418" s="23">
        <v>8</v>
      </c>
      <c r="L418" s="23">
        <v>7</v>
      </c>
      <c r="M418" s="23">
        <v>9</v>
      </c>
      <c r="N418" s="23">
        <v>7</v>
      </c>
      <c r="O418" s="23">
        <v>10</v>
      </c>
      <c r="P418" s="28">
        <v>3</v>
      </c>
    </row>
    <row r="419" spans="1:16" x14ac:dyDescent="0.25">
      <c r="A419" s="27">
        <v>44974</v>
      </c>
      <c r="B419" s="23">
        <v>84</v>
      </c>
      <c r="C419" s="23">
        <v>71</v>
      </c>
      <c r="D419" s="23">
        <v>71</v>
      </c>
      <c r="E419" s="23">
        <v>0</v>
      </c>
      <c r="F419" s="23">
        <v>12</v>
      </c>
      <c r="G419" s="23">
        <v>1</v>
      </c>
      <c r="H419" s="23">
        <v>4</v>
      </c>
      <c r="I419" s="23">
        <v>11</v>
      </c>
      <c r="J419" s="23">
        <v>5</v>
      </c>
      <c r="K419" s="23">
        <v>8</v>
      </c>
      <c r="L419" s="23">
        <v>6</v>
      </c>
      <c r="M419" s="23">
        <v>15</v>
      </c>
      <c r="N419" s="23">
        <v>4</v>
      </c>
      <c r="O419" s="23">
        <v>9</v>
      </c>
      <c r="P419" s="28">
        <v>9</v>
      </c>
    </row>
    <row r="420" spans="1:16" x14ac:dyDescent="0.25">
      <c r="A420" s="27">
        <v>44975</v>
      </c>
      <c r="B420" s="23">
        <v>78</v>
      </c>
      <c r="C420" s="23">
        <v>69</v>
      </c>
      <c r="D420" s="23">
        <v>65</v>
      </c>
      <c r="E420" s="23">
        <v>4</v>
      </c>
      <c r="F420" s="23">
        <v>6</v>
      </c>
      <c r="G420" s="23">
        <v>3</v>
      </c>
      <c r="H420" s="23">
        <v>5</v>
      </c>
      <c r="I420" s="23">
        <v>5</v>
      </c>
      <c r="J420" s="23">
        <v>10</v>
      </c>
      <c r="K420" s="23">
        <v>10</v>
      </c>
      <c r="L420" s="23">
        <v>4</v>
      </c>
      <c r="M420" s="23">
        <v>6</v>
      </c>
      <c r="N420" s="23">
        <v>4</v>
      </c>
      <c r="O420" s="23">
        <v>10</v>
      </c>
      <c r="P420" s="28">
        <v>11</v>
      </c>
    </row>
    <row r="421" spans="1:16" x14ac:dyDescent="0.25">
      <c r="A421" s="27">
        <v>44976</v>
      </c>
      <c r="B421" s="23">
        <v>60</v>
      </c>
      <c r="C421" s="23">
        <v>56</v>
      </c>
      <c r="D421" s="23">
        <v>52</v>
      </c>
      <c r="E421" s="23">
        <v>4</v>
      </c>
      <c r="F421" s="23">
        <v>4</v>
      </c>
      <c r="G421" s="23">
        <v>0</v>
      </c>
      <c r="H421" s="23">
        <v>2</v>
      </c>
      <c r="I421" s="23">
        <v>5</v>
      </c>
      <c r="J421" s="23">
        <v>4</v>
      </c>
      <c r="K421" s="23">
        <v>6</v>
      </c>
      <c r="L421" s="23">
        <v>11</v>
      </c>
      <c r="M421" s="23">
        <v>2</v>
      </c>
      <c r="N421" s="23">
        <v>5</v>
      </c>
      <c r="O421" s="23">
        <v>11</v>
      </c>
      <c r="P421" s="28">
        <v>6</v>
      </c>
    </row>
    <row r="422" spans="1:16" x14ac:dyDescent="0.25">
      <c r="A422" s="27">
        <v>44977</v>
      </c>
      <c r="B422" s="23">
        <v>78</v>
      </c>
      <c r="C422" s="23">
        <v>67</v>
      </c>
      <c r="D422" s="23">
        <v>66</v>
      </c>
      <c r="E422" s="23">
        <v>1</v>
      </c>
      <c r="F422" s="23">
        <v>11</v>
      </c>
      <c r="G422" s="23">
        <v>0</v>
      </c>
      <c r="H422" s="23">
        <v>4</v>
      </c>
      <c r="I422" s="23">
        <v>10</v>
      </c>
      <c r="J422" s="23">
        <v>8</v>
      </c>
      <c r="K422" s="23">
        <v>6</v>
      </c>
      <c r="L422" s="23">
        <v>10</v>
      </c>
      <c r="M422" s="23">
        <v>7</v>
      </c>
      <c r="N422" s="23">
        <v>9</v>
      </c>
      <c r="O422" s="23">
        <v>4</v>
      </c>
      <c r="P422" s="28">
        <v>8</v>
      </c>
    </row>
    <row r="423" spans="1:16" x14ac:dyDescent="0.25">
      <c r="A423" s="27">
        <v>44978</v>
      </c>
      <c r="B423" s="23">
        <v>61</v>
      </c>
      <c r="C423" s="23">
        <v>57</v>
      </c>
      <c r="D423" s="23">
        <v>55</v>
      </c>
      <c r="E423" s="23">
        <v>1</v>
      </c>
      <c r="F423" s="23">
        <v>3</v>
      </c>
      <c r="G423" s="23">
        <v>1</v>
      </c>
      <c r="H423" s="23">
        <v>4</v>
      </c>
      <c r="I423" s="23">
        <v>6</v>
      </c>
      <c r="J423" s="23">
        <v>6</v>
      </c>
      <c r="K423" s="23">
        <v>5</v>
      </c>
      <c r="L423" s="23">
        <v>4</v>
      </c>
      <c r="M423" s="23">
        <v>11</v>
      </c>
      <c r="N423" s="23">
        <v>4</v>
      </c>
      <c r="O423" s="23">
        <v>7</v>
      </c>
      <c r="P423" s="28">
        <v>8</v>
      </c>
    </row>
    <row r="424" spans="1:16" x14ac:dyDescent="0.25">
      <c r="A424" s="27">
        <v>44979</v>
      </c>
      <c r="B424" s="23">
        <v>84</v>
      </c>
      <c r="C424" s="23">
        <v>80</v>
      </c>
      <c r="D424" s="23">
        <v>78</v>
      </c>
      <c r="E424" s="23">
        <v>2</v>
      </c>
      <c r="F424" s="23">
        <v>2</v>
      </c>
      <c r="G424" s="23">
        <v>2</v>
      </c>
      <c r="H424" s="23">
        <v>4</v>
      </c>
      <c r="I424" s="23">
        <v>14</v>
      </c>
      <c r="J424" s="23">
        <v>10</v>
      </c>
      <c r="K424" s="23">
        <v>5</v>
      </c>
      <c r="L424" s="23">
        <v>4</v>
      </c>
      <c r="M424" s="23">
        <v>7</v>
      </c>
      <c r="N424" s="23">
        <v>12</v>
      </c>
      <c r="O424" s="23">
        <v>12</v>
      </c>
      <c r="P424" s="28">
        <v>10</v>
      </c>
    </row>
    <row r="425" spans="1:16" x14ac:dyDescent="0.25">
      <c r="A425" s="27">
        <v>44980</v>
      </c>
      <c r="B425" s="23">
        <v>75</v>
      </c>
      <c r="C425" s="23">
        <v>69</v>
      </c>
      <c r="D425" s="23">
        <v>68</v>
      </c>
      <c r="E425" s="23">
        <v>1</v>
      </c>
      <c r="F425" s="23">
        <v>3</v>
      </c>
      <c r="G425" s="23">
        <v>3</v>
      </c>
      <c r="H425" s="23">
        <v>8</v>
      </c>
      <c r="I425" s="23">
        <v>11</v>
      </c>
      <c r="J425" s="23">
        <v>2</v>
      </c>
      <c r="K425" s="23">
        <v>4</v>
      </c>
      <c r="L425" s="23">
        <v>7</v>
      </c>
      <c r="M425" s="23">
        <v>9</v>
      </c>
      <c r="N425" s="23">
        <v>9</v>
      </c>
      <c r="O425" s="23">
        <v>13</v>
      </c>
      <c r="P425" s="28">
        <v>5</v>
      </c>
    </row>
    <row r="426" spans="1:16" x14ac:dyDescent="0.25">
      <c r="A426" s="27">
        <v>44981</v>
      </c>
      <c r="B426" s="23">
        <v>81</v>
      </c>
      <c r="C426" s="23">
        <v>74</v>
      </c>
      <c r="D426" s="23">
        <v>71</v>
      </c>
      <c r="E426" s="23">
        <v>3</v>
      </c>
      <c r="F426" s="23">
        <v>7</v>
      </c>
      <c r="G426" s="23">
        <v>0</v>
      </c>
      <c r="H426" s="23">
        <v>6</v>
      </c>
      <c r="I426" s="23">
        <v>9</v>
      </c>
      <c r="J426" s="23">
        <v>11</v>
      </c>
      <c r="K426" s="23">
        <v>9</v>
      </c>
      <c r="L426" s="23">
        <v>8</v>
      </c>
      <c r="M426" s="23">
        <v>10</v>
      </c>
      <c r="N426" s="23">
        <v>4</v>
      </c>
      <c r="O426" s="23">
        <v>11</v>
      </c>
      <c r="P426" s="28">
        <v>3</v>
      </c>
    </row>
    <row r="427" spans="1:16" x14ac:dyDescent="0.25">
      <c r="A427" s="27">
        <v>44982</v>
      </c>
      <c r="B427" s="23">
        <v>77</v>
      </c>
      <c r="C427" s="23">
        <v>69</v>
      </c>
      <c r="D427" s="23">
        <v>65</v>
      </c>
      <c r="E427" s="23">
        <v>4</v>
      </c>
      <c r="F427" s="23">
        <v>6</v>
      </c>
      <c r="G427" s="23">
        <v>2</v>
      </c>
      <c r="H427" s="23">
        <v>4</v>
      </c>
      <c r="I427" s="23">
        <v>5</v>
      </c>
      <c r="J427" s="23">
        <v>4</v>
      </c>
      <c r="K427" s="23">
        <v>9</v>
      </c>
      <c r="L427" s="23">
        <v>9</v>
      </c>
      <c r="M427" s="23">
        <v>15</v>
      </c>
      <c r="N427" s="23">
        <v>7</v>
      </c>
      <c r="O427" s="23">
        <v>5</v>
      </c>
      <c r="P427" s="28">
        <v>7</v>
      </c>
    </row>
    <row r="428" spans="1:16" x14ac:dyDescent="0.25">
      <c r="A428" s="27">
        <v>44983</v>
      </c>
      <c r="B428" s="23">
        <v>85</v>
      </c>
      <c r="C428" s="23">
        <v>78</v>
      </c>
      <c r="D428" s="23">
        <v>77</v>
      </c>
      <c r="E428" s="23">
        <v>1</v>
      </c>
      <c r="F428" s="23">
        <v>6</v>
      </c>
      <c r="G428" s="23">
        <v>1</v>
      </c>
      <c r="H428" s="23">
        <v>1</v>
      </c>
      <c r="I428" s="23">
        <v>8</v>
      </c>
      <c r="J428" s="23">
        <v>6</v>
      </c>
      <c r="K428" s="23">
        <v>10</v>
      </c>
      <c r="L428" s="23">
        <v>9</v>
      </c>
      <c r="M428" s="23">
        <v>13</v>
      </c>
      <c r="N428" s="23">
        <v>9</v>
      </c>
      <c r="O428" s="23">
        <v>13</v>
      </c>
      <c r="P428" s="28">
        <v>8</v>
      </c>
    </row>
    <row r="429" spans="1:16" x14ac:dyDescent="0.25">
      <c r="A429" s="27">
        <v>44984</v>
      </c>
      <c r="B429" s="23">
        <v>79</v>
      </c>
      <c r="C429" s="23">
        <v>72</v>
      </c>
      <c r="D429" s="23">
        <v>70</v>
      </c>
      <c r="E429" s="23">
        <v>2</v>
      </c>
      <c r="F429" s="23">
        <v>6</v>
      </c>
      <c r="G429" s="23">
        <v>1</v>
      </c>
      <c r="H429" s="23">
        <v>7</v>
      </c>
      <c r="I429" s="23">
        <v>5</v>
      </c>
      <c r="J429" s="23">
        <v>4</v>
      </c>
      <c r="K429" s="23">
        <v>7</v>
      </c>
      <c r="L429" s="23">
        <v>6</v>
      </c>
      <c r="M429" s="23">
        <v>11</v>
      </c>
      <c r="N429" s="23">
        <v>6</v>
      </c>
      <c r="O429" s="23">
        <v>13</v>
      </c>
      <c r="P429" s="28">
        <v>11</v>
      </c>
    </row>
    <row r="430" spans="1:16" x14ac:dyDescent="0.25">
      <c r="A430" s="27">
        <v>44985</v>
      </c>
      <c r="B430" s="23">
        <v>74</v>
      </c>
      <c r="C430" s="23">
        <v>72</v>
      </c>
      <c r="D430" s="23">
        <v>71</v>
      </c>
      <c r="E430" s="23">
        <v>1</v>
      </c>
      <c r="F430" s="23">
        <v>2</v>
      </c>
      <c r="G430" s="23">
        <v>0</v>
      </c>
      <c r="H430" s="23">
        <v>6</v>
      </c>
      <c r="I430" s="23">
        <v>15</v>
      </c>
      <c r="J430" s="23">
        <v>7</v>
      </c>
      <c r="K430" s="23">
        <v>7</v>
      </c>
      <c r="L430" s="23">
        <v>10</v>
      </c>
      <c r="M430" s="23">
        <v>6</v>
      </c>
      <c r="N430" s="23">
        <v>7</v>
      </c>
      <c r="O430" s="23">
        <v>10</v>
      </c>
      <c r="P430" s="28">
        <v>3</v>
      </c>
    </row>
    <row r="431" spans="1:16" x14ac:dyDescent="0.25">
      <c r="A431" s="27">
        <v>44986</v>
      </c>
      <c r="B431" s="23">
        <v>83</v>
      </c>
      <c r="C431" s="23">
        <v>65</v>
      </c>
      <c r="D431" s="23">
        <v>63</v>
      </c>
      <c r="E431" s="23">
        <v>2</v>
      </c>
      <c r="F431" s="23">
        <v>15</v>
      </c>
      <c r="G431" s="23">
        <v>3</v>
      </c>
      <c r="H431" s="23">
        <v>3</v>
      </c>
      <c r="I431" s="23">
        <v>7</v>
      </c>
      <c r="J431" s="23">
        <v>4</v>
      </c>
      <c r="K431" s="23">
        <v>11</v>
      </c>
      <c r="L431" s="23">
        <v>7</v>
      </c>
      <c r="M431" s="23">
        <v>11</v>
      </c>
      <c r="N431" s="23">
        <v>6</v>
      </c>
      <c r="O431" s="23">
        <v>9</v>
      </c>
      <c r="P431" s="28">
        <v>5</v>
      </c>
    </row>
    <row r="432" spans="1:16" x14ac:dyDescent="0.25">
      <c r="A432" s="27">
        <v>44987</v>
      </c>
      <c r="B432" s="23">
        <v>102</v>
      </c>
      <c r="C432" s="23">
        <v>92</v>
      </c>
      <c r="D432" s="23">
        <v>89</v>
      </c>
      <c r="E432" s="23">
        <v>3</v>
      </c>
      <c r="F432" s="23">
        <v>10</v>
      </c>
      <c r="G432" s="23">
        <v>0</v>
      </c>
      <c r="H432" s="23">
        <v>9</v>
      </c>
      <c r="I432" s="23">
        <v>10</v>
      </c>
      <c r="J432" s="23">
        <v>11</v>
      </c>
      <c r="K432" s="23">
        <v>8</v>
      </c>
      <c r="L432" s="23">
        <v>8</v>
      </c>
      <c r="M432" s="23">
        <v>7</v>
      </c>
      <c r="N432" s="23">
        <v>12</v>
      </c>
      <c r="O432" s="23">
        <v>20</v>
      </c>
      <c r="P432" s="28">
        <v>4</v>
      </c>
    </row>
    <row r="433" spans="1:16" x14ac:dyDescent="0.25">
      <c r="A433" s="27">
        <v>44988</v>
      </c>
      <c r="B433" s="23">
        <v>79</v>
      </c>
      <c r="C433" s="23">
        <v>67</v>
      </c>
      <c r="D433" s="23">
        <v>62</v>
      </c>
      <c r="E433" s="23">
        <v>5</v>
      </c>
      <c r="F433" s="23">
        <v>11</v>
      </c>
      <c r="G433" s="23">
        <v>1</v>
      </c>
      <c r="H433" s="23">
        <v>0</v>
      </c>
      <c r="I433" s="23">
        <v>9</v>
      </c>
      <c r="J433" s="23">
        <v>8</v>
      </c>
      <c r="K433" s="23">
        <v>6</v>
      </c>
      <c r="L433" s="23">
        <v>17</v>
      </c>
      <c r="M433" s="23">
        <v>3</v>
      </c>
      <c r="N433" s="23">
        <v>4</v>
      </c>
      <c r="O433" s="23">
        <v>10</v>
      </c>
      <c r="P433" s="28">
        <v>5</v>
      </c>
    </row>
    <row r="434" spans="1:16" x14ac:dyDescent="0.25">
      <c r="A434" s="27">
        <v>44989</v>
      </c>
      <c r="B434" s="23">
        <v>100</v>
      </c>
      <c r="C434" s="23">
        <v>88</v>
      </c>
      <c r="D434" s="23">
        <v>84</v>
      </c>
      <c r="E434" s="23">
        <v>4</v>
      </c>
      <c r="F434" s="23">
        <v>10</v>
      </c>
      <c r="G434" s="23">
        <v>2</v>
      </c>
      <c r="H434" s="23">
        <v>10</v>
      </c>
      <c r="I434" s="23">
        <v>11</v>
      </c>
      <c r="J434" s="23">
        <v>8</v>
      </c>
      <c r="K434" s="23">
        <v>9</v>
      </c>
      <c r="L434" s="23">
        <v>11</v>
      </c>
      <c r="M434" s="23">
        <v>6</v>
      </c>
      <c r="N434" s="23">
        <v>10</v>
      </c>
      <c r="O434" s="23">
        <v>14</v>
      </c>
      <c r="P434" s="28">
        <v>5</v>
      </c>
    </row>
    <row r="435" spans="1:16" x14ac:dyDescent="0.25">
      <c r="A435" s="27">
        <v>44990</v>
      </c>
      <c r="B435" s="23">
        <v>97</v>
      </c>
      <c r="C435" s="23">
        <v>90</v>
      </c>
      <c r="D435" s="23">
        <v>83</v>
      </c>
      <c r="E435" s="23">
        <v>7</v>
      </c>
      <c r="F435" s="23">
        <v>6</v>
      </c>
      <c r="G435" s="23">
        <v>1</v>
      </c>
      <c r="H435" s="23">
        <v>3</v>
      </c>
      <c r="I435" s="23">
        <v>8</v>
      </c>
      <c r="J435" s="23">
        <v>10</v>
      </c>
      <c r="K435" s="23">
        <v>12</v>
      </c>
      <c r="L435" s="23">
        <v>7</v>
      </c>
      <c r="M435" s="23">
        <v>8</v>
      </c>
      <c r="N435" s="23">
        <v>7</v>
      </c>
      <c r="O435" s="23">
        <v>21</v>
      </c>
      <c r="P435" s="28">
        <v>7</v>
      </c>
    </row>
    <row r="436" spans="1:16" x14ac:dyDescent="0.25">
      <c r="A436" s="27">
        <v>44991</v>
      </c>
      <c r="B436" s="23">
        <v>90</v>
      </c>
      <c r="C436" s="23">
        <v>79</v>
      </c>
      <c r="D436" s="23">
        <v>77</v>
      </c>
      <c r="E436" s="23">
        <v>2</v>
      </c>
      <c r="F436" s="23">
        <v>10</v>
      </c>
      <c r="G436" s="23">
        <v>1</v>
      </c>
      <c r="H436" s="23">
        <v>6</v>
      </c>
      <c r="I436" s="23">
        <v>10</v>
      </c>
      <c r="J436" s="23">
        <v>9</v>
      </c>
      <c r="K436" s="23">
        <v>7</v>
      </c>
      <c r="L436" s="23">
        <v>8</v>
      </c>
      <c r="M436" s="23">
        <v>11</v>
      </c>
      <c r="N436" s="23">
        <v>8</v>
      </c>
      <c r="O436" s="23">
        <v>9</v>
      </c>
      <c r="P436" s="28">
        <v>9</v>
      </c>
    </row>
    <row r="437" spans="1:16" x14ac:dyDescent="0.25">
      <c r="A437" s="27">
        <v>44992</v>
      </c>
      <c r="B437" s="23">
        <v>91</v>
      </c>
      <c r="C437" s="23">
        <v>83</v>
      </c>
      <c r="D437" s="23">
        <v>76</v>
      </c>
      <c r="E437" s="23">
        <v>7</v>
      </c>
      <c r="F437" s="23">
        <v>7</v>
      </c>
      <c r="G437" s="23">
        <v>1</v>
      </c>
      <c r="H437" s="23">
        <v>3</v>
      </c>
      <c r="I437" s="23">
        <v>12</v>
      </c>
      <c r="J437" s="23">
        <v>7</v>
      </c>
      <c r="K437" s="23">
        <v>11</v>
      </c>
      <c r="L437" s="23">
        <v>4</v>
      </c>
      <c r="M437" s="23">
        <v>8</v>
      </c>
      <c r="N437" s="23">
        <v>7</v>
      </c>
      <c r="O437" s="23">
        <v>13</v>
      </c>
      <c r="P437" s="28">
        <v>11</v>
      </c>
    </row>
    <row r="438" spans="1:16" x14ac:dyDescent="0.25">
      <c r="A438" s="27">
        <v>44993</v>
      </c>
      <c r="B438" s="23">
        <v>94</v>
      </c>
      <c r="C438" s="23">
        <v>82</v>
      </c>
      <c r="D438" s="23">
        <v>77</v>
      </c>
      <c r="E438" s="23">
        <v>5</v>
      </c>
      <c r="F438" s="23">
        <v>11</v>
      </c>
      <c r="G438" s="23">
        <v>1</v>
      </c>
      <c r="H438" s="23">
        <v>3</v>
      </c>
      <c r="I438" s="23">
        <v>12</v>
      </c>
      <c r="J438" s="23">
        <v>6</v>
      </c>
      <c r="K438" s="23">
        <v>5</v>
      </c>
      <c r="L438" s="23">
        <v>14</v>
      </c>
      <c r="M438" s="23">
        <v>13</v>
      </c>
      <c r="N438" s="23">
        <v>6</v>
      </c>
      <c r="O438" s="23">
        <v>9</v>
      </c>
      <c r="P438" s="28">
        <v>9</v>
      </c>
    </row>
    <row r="439" spans="1:16" x14ac:dyDescent="0.25">
      <c r="A439" s="27">
        <v>44994</v>
      </c>
      <c r="B439" s="23">
        <v>94</v>
      </c>
      <c r="C439" s="23">
        <v>87</v>
      </c>
      <c r="D439" s="23">
        <v>78</v>
      </c>
      <c r="E439" s="23">
        <v>9</v>
      </c>
      <c r="F439" s="23">
        <v>7</v>
      </c>
      <c r="G439" s="23">
        <v>0</v>
      </c>
      <c r="H439" s="23">
        <v>6</v>
      </c>
      <c r="I439" s="23">
        <v>12</v>
      </c>
      <c r="J439" s="23">
        <v>4</v>
      </c>
      <c r="K439" s="23">
        <v>10</v>
      </c>
      <c r="L439" s="23">
        <v>6</v>
      </c>
      <c r="M439" s="23">
        <v>18</v>
      </c>
      <c r="N439" s="23">
        <v>7</v>
      </c>
      <c r="O439" s="23">
        <v>10</v>
      </c>
      <c r="P439" s="28">
        <v>5</v>
      </c>
    </row>
    <row r="440" spans="1:16" x14ac:dyDescent="0.25">
      <c r="A440" s="27">
        <v>44995</v>
      </c>
      <c r="B440" s="23">
        <v>92</v>
      </c>
      <c r="C440" s="23">
        <v>86</v>
      </c>
      <c r="D440" s="23">
        <v>77</v>
      </c>
      <c r="E440" s="23">
        <v>9</v>
      </c>
      <c r="F440" s="23">
        <v>5</v>
      </c>
      <c r="G440" s="23">
        <v>1</v>
      </c>
      <c r="H440" s="23">
        <v>5</v>
      </c>
      <c r="I440" s="23">
        <v>14</v>
      </c>
      <c r="J440" s="23">
        <v>6</v>
      </c>
      <c r="K440" s="23">
        <v>12</v>
      </c>
      <c r="L440" s="23">
        <v>9</v>
      </c>
      <c r="M440" s="23">
        <v>7</v>
      </c>
      <c r="N440" s="23">
        <v>7</v>
      </c>
      <c r="O440" s="23">
        <v>12</v>
      </c>
      <c r="P440" s="28">
        <v>5</v>
      </c>
    </row>
    <row r="441" spans="1:16" x14ac:dyDescent="0.25">
      <c r="A441" s="27">
        <v>44996</v>
      </c>
      <c r="B441" s="23">
        <v>100</v>
      </c>
      <c r="C441" s="23">
        <v>86</v>
      </c>
      <c r="D441" s="23">
        <v>81</v>
      </c>
      <c r="E441" s="23">
        <v>5</v>
      </c>
      <c r="F441" s="23">
        <v>14</v>
      </c>
      <c r="G441" s="23">
        <v>0</v>
      </c>
      <c r="H441" s="23">
        <v>3</v>
      </c>
      <c r="I441" s="23">
        <v>16</v>
      </c>
      <c r="J441" s="23">
        <v>12</v>
      </c>
      <c r="K441" s="23">
        <v>10</v>
      </c>
      <c r="L441" s="23">
        <v>7</v>
      </c>
      <c r="M441" s="23">
        <v>13</v>
      </c>
      <c r="N441" s="23">
        <v>3</v>
      </c>
      <c r="O441" s="23">
        <v>6</v>
      </c>
      <c r="P441" s="28">
        <v>11</v>
      </c>
    </row>
    <row r="442" spans="1:16" x14ac:dyDescent="0.25">
      <c r="A442" s="27">
        <v>44997</v>
      </c>
      <c r="B442" s="23">
        <v>101</v>
      </c>
      <c r="C442" s="23">
        <v>85</v>
      </c>
      <c r="D442" s="23">
        <v>82</v>
      </c>
      <c r="E442" s="23">
        <v>3</v>
      </c>
      <c r="F442" s="23">
        <v>11</v>
      </c>
      <c r="G442" s="23">
        <v>5</v>
      </c>
      <c r="H442" s="23">
        <v>5</v>
      </c>
      <c r="I442" s="23">
        <v>14</v>
      </c>
      <c r="J442" s="23">
        <v>7</v>
      </c>
      <c r="K442" s="23">
        <v>5</v>
      </c>
      <c r="L442" s="23">
        <v>10</v>
      </c>
      <c r="M442" s="23">
        <v>9</v>
      </c>
      <c r="N442" s="23">
        <v>10</v>
      </c>
      <c r="O442" s="23">
        <v>14</v>
      </c>
      <c r="P442" s="28">
        <v>8</v>
      </c>
    </row>
    <row r="443" spans="1:16" x14ac:dyDescent="0.25">
      <c r="A443" s="27">
        <v>44998</v>
      </c>
      <c r="B443" s="23">
        <v>96</v>
      </c>
      <c r="C443" s="23">
        <v>91</v>
      </c>
      <c r="D443" s="23">
        <v>86</v>
      </c>
      <c r="E443" s="23">
        <v>5</v>
      </c>
      <c r="F443" s="23">
        <v>5</v>
      </c>
      <c r="G443" s="23">
        <v>0</v>
      </c>
      <c r="H443" s="23">
        <v>3</v>
      </c>
      <c r="I443" s="23">
        <v>16</v>
      </c>
      <c r="J443" s="23">
        <v>9</v>
      </c>
      <c r="K443" s="23">
        <v>10</v>
      </c>
      <c r="L443" s="23">
        <v>9</v>
      </c>
      <c r="M443" s="23">
        <v>6</v>
      </c>
      <c r="N443" s="23">
        <v>10</v>
      </c>
      <c r="O443" s="23">
        <v>13</v>
      </c>
      <c r="P443" s="28">
        <v>10</v>
      </c>
    </row>
    <row r="444" spans="1:16" x14ac:dyDescent="0.25">
      <c r="A444" s="27">
        <v>44999</v>
      </c>
      <c r="B444" s="23">
        <v>93</v>
      </c>
      <c r="C444" s="23">
        <v>85</v>
      </c>
      <c r="D444" s="23">
        <v>81</v>
      </c>
      <c r="E444" s="23">
        <v>4</v>
      </c>
      <c r="F444" s="23">
        <v>6</v>
      </c>
      <c r="G444" s="23">
        <v>2</v>
      </c>
      <c r="H444" s="23">
        <v>6</v>
      </c>
      <c r="I444" s="23">
        <v>12</v>
      </c>
      <c r="J444" s="23">
        <v>5</v>
      </c>
      <c r="K444" s="23">
        <v>7</v>
      </c>
      <c r="L444" s="23">
        <v>7</v>
      </c>
      <c r="M444" s="23">
        <v>9</v>
      </c>
      <c r="N444" s="23">
        <v>9</v>
      </c>
      <c r="O444" s="23">
        <v>18</v>
      </c>
      <c r="P444" s="28">
        <v>8</v>
      </c>
    </row>
    <row r="445" spans="1:16" x14ac:dyDescent="0.25">
      <c r="A445" s="27">
        <v>45000</v>
      </c>
      <c r="B445" s="23">
        <v>106</v>
      </c>
      <c r="C445" s="23">
        <v>98</v>
      </c>
      <c r="D445" s="23">
        <v>91</v>
      </c>
      <c r="E445" s="23">
        <v>7</v>
      </c>
      <c r="F445" s="23">
        <v>8</v>
      </c>
      <c r="G445" s="23">
        <v>0</v>
      </c>
      <c r="H445" s="23">
        <v>6</v>
      </c>
      <c r="I445" s="23">
        <v>18</v>
      </c>
      <c r="J445" s="23">
        <v>8</v>
      </c>
      <c r="K445" s="23">
        <v>7</v>
      </c>
      <c r="L445" s="23">
        <v>9</v>
      </c>
      <c r="M445" s="23">
        <v>9</v>
      </c>
      <c r="N445" s="23">
        <v>14</v>
      </c>
      <c r="O445" s="23">
        <v>14</v>
      </c>
      <c r="P445" s="28">
        <v>6</v>
      </c>
    </row>
    <row r="446" spans="1:16" x14ac:dyDescent="0.25">
      <c r="A446" s="27">
        <v>45001</v>
      </c>
      <c r="B446" s="23">
        <v>103</v>
      </c>
      <c r="C446" s="23">
        <v>91</v>
      </c>
      <c r="D446" s="23">
        <v>82</v>
      </c>
      <c r="E446" s="23">
        <v>9</v>
      </c>
      <c r="F446" s="23">
        <v>12</v>
      </c>
      <c r="G446" s="23">
        <v>0</v>
      </c>
      <c r="H446" s="23">
        <v>3</v>
      </c>
      <c r="I446" s="23">
        <v>14</v>
      </c>
      <c r="J446" s="23">
        <v>6</v>
      </c>
      <c r="K446" s="23">
        <v>10</v>
      </c>
      <c r="L446" s="23">
        <v>12</v>
      </c>
      <c r="M446" s="23">
        <v>7</v>
      </c>
      <c r="N446" s="23">
        <v>8</v>
      </c>
      <c r="O446" s="23">
        <v>10</v>
      </c>
      <c r="P446" s="28">
        <v>12</v>
      </c>
    </row>
    <row r="447" spans="1:16" x14ac:dyDescent="0.25">
      <c r="A447" s="27">
        <v>45002</v>
      </c>
      <c r="B447" s="23">
        <v>111</v>
      </c>
      <c r="C447" s="23">
        <v>101</v>
      </c>
      <c r="D447" s="23">
        <v>94</v>
      </c>
      <c r="E447" s="23">
        <v>7</v>
      </c>
      <c r="F447" s="23">
        <v>10</v>
      </c>
      <c r="G447" s="23">
        <v>0</v>
      </c>
      <c r="H447" s="23">
        <v>5</v>
      </c>
      <c r="I447" s="23">
        <v>15</v>
      </c>
      <c r="J447" s="23">
        <v>11</v>
      </c>
      <c r="K447" s="23">
        <v>9</v>
      </c>
      <c r="L447" s="23">
        <v>18</v>
      </c>
      <c r="M447" s="23">
        <v>9</v>
      </c>
      <c r="N447" s="23">
        <v>7</v>
      </c>
      <c r="O447" s="23">
        <v>16</v>
      </c>
      <c r="P447" s="28">
        <v>4</v>
      </c>
    </row>
    <row r="448" spans="1:16" x14ac:dyDescent="0.25">
      <c r="A448" s="27">
        <v>45003</v>
      </c>
      <c r="B448" s="23">
        <v>98</v>
      </c>
      <c r="C448" s="23">
        <v>87</v>
      </c>
      <c r="D448" s="23">
        <v>82</v>
      </c>
      <c r="E448" s="23">
        <v>5</v>
      </c>
      <c r="F448" s="23">
        <v>9</v>
      </c>
      <c r="G448" s="23">
        <v>2</v>
      </c>
      <c r="H448" s="23">
        <v>8</v>
      </c>
      <c r="I448" s="23">
        <v>8</v>
      </c>
      <c r="J448" s="23">
        <v>11</v>
      </c>
      <c r="K448" s="23">
        <v>13</v>
      </c>
      <c r="L448" s="23">
        <v>6</v>
      </c>
      <c r="M448" s="23">
        <v>12</v>
      </c>
      <c r="N448" s="23">
        <v>4</v>
      </c>
      <c r="O448" s="23">
        <v>6</v>
      </c>
      <c r="P448" s="28">
        <v>14</v>
      </c>
    </row>
    <row r="449" spans="1:16" x14ac:dyDescent="0.25">
      <c r="A449" s="27">
        <v>45004</v>
      </c>
      <c r="B449" s="23">
        <v>91</v>
      </c>
      <c r="C449" s="23">
        <v>84</v>
      </c>
      <c r="D449" s="23">
        <v>77</v>
      </c>
      <c r="E449" s="23">
        <v>7</v>
      </c>
      <c r="F449" s="23">
        <v>5</v>
      </c>
      <c r="G449" s="23">
        <v>2</v>
      </c>
      <c r="H449" s="23">
        <v>5</v>
      </c>
      <c r="I449" s="23">
        <v>4</v>
      </c>
      <c r="J449" s="23">
        <v>8</v>
      </c>
      <c r="K449" s="23">
        <v>4</v>
      </c>
      <c r="L449" s="23">
        <v>12</v>
      </c>
      <c r="M449" s="23">
        <v>10</v>
      </c>
      <c r="N449" s="23">
        <v>3</v>
      </c>
      <c r="O449" s="23">
        <v>18</v>
      </c>
      <c r="P449" s="28">
        <v>13</v>
      </c>
    </row>
    <row r="450" spans="1:16" x14ac:dyDescent="0.25">
      <c r="A450" s="27">
        <v>45005</v>
      </c>
      <c r="B450" s="23">
        <v>97</v>
      </c>
      <c r="C450" s="23">
        <v>83</v>
      </c>
      <c r="D450" s="23">
        <v>74</v>
      </c>
      <c r="E450" s="23">
        <v>8</v>
      </c>
      <c r="F450" s="23">
        <v>14</v>
      </c>
      <c r="G450" s="23">
        <v>0</v>
      </c>
      <c r="H450" s="23">
        <v>4</v>
      </c>
      <c r="I450" s="23">
        <v>14</v>
      </c>
      <c r="J450" s="23">
        <v>3</v>
      </c>
      <c r="K450" s="23">
        <v>8</v>
      </c>
      <c r="L450" s="23">
        <v>8</v>
      </c>
      <c r="M450" s="23">
        <v>10</v>
      </c>
      <c r="N450" s="23">
        <v>6</v>
      </c>
      <c r="O450" s="23">
        <v>13</v>
      </c>
      <c r="P450" s="28">
        <v>8</v>
      </c>
    </row>
    <row r="451" spans="1:16" x14ac:dyDescent="0.25">
      <c r="A451" s="27">
        <v>45006</v>
      </c>
      <c r="B451" s="23">
        <v>127</v>
      </c>
      <c r="C451" s="23">
        <v>107</v>
      </c>
      <c r="D451" s="23">
        <v>101</v>
      </c>
      <c r="E451" s="23">
        <v>6</v>
      </c>
      <c r="F451" s="23">
        <v>19</v>
      </c>
      <c r="G451" s="23">
        <v>1</v>
      </c>
      <c r="H451" s="23">
        <v>4</v>
      </c>
      <c r="I451" s="23">
        <v>15</v>
      </c>
      <c r="J451" s="23">
        <v>15</v>
      </c>
      <c r="K451" s="23">
        <v>11</v>
      </c>
      <c r="L451" s="23">
        <v>10</v>
      </c>
      <c r="M451" s="23">
        <v>12</v>
      </c>
      <c r="N451" s="23">
        <v>11</v>
      </c>
      <c r="O451" s="23">
        <v>12</v>
      </c>
      <c r="P451" s="28">
        <v>11</v>
      </c>
    </row>
    <row r="452" spans="1:16" x14ac:dyDescent="0.25">
      <c r="A452" s="27">
        <v>45007</v>
      </c>
      <c r="B452" s="23">
        <v>102</v>
      </c>
      <c r="C452" s="23">
        <v>90</v>
      </c>
      <c r="D452" s="23">
        <v>85</v>
      </c>
      <c r="E452" s="23">
        <v>5</v>
      </c>
      <c r="F452" s="23">
        <v>12</v>
      </c>
      <c r="G452" s="23">
        <v>0</v>
      </c>
      <c r="H452" s="23">
        <v>5</v>
      </c>
      <c r="I452" s="23">
        <v>16</v>
      </c>
      <c r="J452" s="23">
        <v>14</v>
      </c>
      <c r="K452" s="23">
        <v>6</v>
      </c>
      <c r="L452" s="23">
        <v>10</v>
      </c>
      <c r="M452" s="23">
        <v>13</v>
      </c>
      <c r="N452" s="23">
        <v>3</v>
      </c>
      <c r="O452" s="23">
        <v>9</v>
      </c>
      <c r="P452" s="28">
        <v>9</v>
      </c>
    </row>
    <row r="453" spans="1:16" x14ac:dyDescent="0.25">
      <c r="A453" s="27">
        <v>45008</v>
      </c>
      <c r="B453" s="23">
        <v>108</v>
      </c>
      <c r="C453" s="23">
        <v>97</v>
      </c>
      <c r="D453" s="23">
        <v>90</v>
      </c>
      <c r="E453" s="23">
        <v>6</v>
      </c>
      <c r="F453" s="23">
        <v>11</v>
      </c>
      <c r="G453" s="23">
        <v>0</v>
      </c>
      <c r="H453" s="23">
        <v>4</v>
      </c>
      <c r="I453" s="23">
        <v>12</v>
      </c>
      <c r="J453" s="23">
        <v>8</v>
      </c>
      <c r="K453" s="23">
        <v>13</v>
      </c>
      <c r="L453" s="23">
        <v>9</v>
      </c>
      <c r="M453" s="23">
        <v>9</v>
      </c>
      <c r="N453" s="23">
        <v>9</v>
      </c>
      <c r="O453" s="23">
        <v>19</v>
      </c>
      <c r="P453" s="28">
        <v>7</v>
      </c>
    </row>
    <row r="454" spans="1:16" x14ac:dyDescent="0.25">
      <c r="A454" s="27">
        <v>45009</v>
      </c>
      <c r="B454" s="23">
        <v>113</v>
      </c>
      <c r="C454" s="23">
        <v>97</v>
      </c>
      <c r="D454" s="23">
        <v>94</v>
      </c>
      <c r="E454" s="23">
        <v>3</v>
      </c>
      <c r="F454" s="23">
        <v>14</v>
      </c>
      <c r="G454" s="23">
        <v>2</v>
      </c>
      <c r="H454" s="23">
        <v>3</v>
      </c>
      <c r="I454" s="23">
        <v>19</v>
      </c>
      <c r="J454" s="23">
        <v>5</v>
      </c>
      <c r="K454" s="23">
        <v>9</v>
      </c>
      <c r="L454" s="23">
        <v>7</v>
      </c>
      <c r="M454" s="23">
        <v>17</v>
      </c>
      <c r="N454" s="23">
        <v>10</v>
      </c>
      <c r="O454" s="23">
        <v>19</v>
      </c>
      <c r="P454" s="28">
        <v>5</v>
      </c>
    </row>
    <row r="455" spans="1:16" x14ac:dyDescent="0.25">
      <c r="A455" s="27">
        <v>45010</v>
      </c>
      <c r="B455" s="23">
        <v>115</v>
      </c>
      <c r="C455" s="23">
        <v>100</v>
      </c>
      <c r="D455" s="23">
        <v>94</v>
      </c>
      <c r="E455" s="23">
        <v>6</v>
      </c>
      <c r="F455" s="23">
        <v>12</v>
      </c>
      <c r="G455" s="23">
        <v>3</v>
      </c>
      <c r="H455" s="23">
        <v>8</v>
      </c>
      <c r="I455" s="23">
        <v>15</v>
      </c>
      <c r="J455" s="23">
        <v>9</v>
      </c>
      <c r="K455" s="23">
        <v>7</v>
      </c>
      <c r="L455" s="23">
        <v>8</v>
      </c>
      <c r="M455" s="23">
        <v>12</v>
      </c>
      <c r="N455" s="23">
        <v>6</v>
      </c>
      <c r="O455" s="23">
        <v>19</v>
      </c>
      <c r="P455" s="28">
        <v>10</v>
      </c>
    </row>
    <row r="456" spans="1:16" x14ac:dyDescent="0.25">
      <c r="A456" s="27">
        <v>45011</v>
      </c>
      <c r="B456" s="23">
        <v>86</v>
      </c>
      <c r="C456" s="23">
        <v>77</v>
      </c>
      <c r="D456" s="23">
        <v>69</v>
      </c>
      <c r="E456" s="23">
        <v>8</v>
      </c>
      <c r="F456" s="23">
        <v>7</v>
      </c>
      <c r="G456" s="23">
        <v>2</v>
      </c>
      <c r="H456" s="23">
        <v>5</v>
      </c>
      <c r="I456" s="23">
        <v>7</v>
      </c>
      <c r="J456" s="23">
        <v>7</v>
      </c>
      <c r="K456" s="23">
        <v>5</v>
      </c>
      <c r="L456" s="23">
        <v>9</v>
      </c>
      <c r="M456" s="23">
        <v>6</v>
      </c>
      <c r="N456" s="23">
        <v>8</v>
      </c>
      <c r="O456" s="23">
        <v>18</v>
      </c>
      <c r="P456" s="28">
        <v>4</v>
      </c>
    </row>
    <row r="457" spans="1:16" x14ac:dyDescent="0.25">
      <c r="A457" s="27">
        <v>45012</v>
      </c>
      <c r="B457" s="23">
        <v>98</v>
      </c>
      <c r="C457" s="23">
        <v>89</v>
      </c>
      <c r="D457" s="23">
        <v>85</v>
      </c>
      <c r="E457" s="23">
        <v>4</v>
      </c>
      <c r="F457" s="23">
        <v>7</v>
      </c>
      <c r="G457" s="23">
        <v>2</v>
      </c>
      <c r="H457" s="23">
        <v>7</v>
      </c>
      <c r="I457" s="23">
        <v>13</v>
      </c>
      <c r="J457" s="23">
        <v>9</v>
      </c>
      <c r="K457" s="23">
        <v>8</v>
      </c>
      <c r="L457" s="23">
        <v>11</v>
      </c>
      <c r="M457" s="23">
        <v>9</v>
      </c>
      <c r="N457" s="23">
        <v>5</v>
      </c>
      <c r="O457" s="23">
        <v>16</v>
      </c>
      <c r="P457" s="28">
        <v>7</v>
      </c>
    </row>
    <row r="458" spans="1:16" x14ac:dyDescent="0.25">
      <c r="A458" s="27">
        <v>45013</v>
      </c>
      <c r="B458" s="23">
        <v>113</v>
      </c>
      <c r="C458" s="23">
        <v>98</v>
      </c>
      <c r="D458" s="23">
        <v>95</v>
      </c>
      <c r="E458" s="23">
        <v>3</v>
      </c>
      <c r="F458" s="23">
        <v>14</v>
      </c>
      <c r="G458" s="23">
        <v>1</v>
      </c>
      <c r="H458" s="23">
        <v>4</v>
      </c>
      <c r="I458" s="23">
        <v>12</v>
      </c>
      <c r="J458" s="23">
        <v>9</v>
      </c>
      <c r="K458" s="23">
        <v>12</v>
      </c>
      <c r="L458" s="23">
        <v>3</v>
      </c>
      <c r="M458" s="23">
        <v>14</v>
      </c>
      <c r="N458" s="23">
        <v>9</v>
      </c>
      <c r="O458" s="23">
        <v>19</v>
      </c>
      <c r="P458" s="28">
        <v>13</v>
      </c>
    </row>
    <row r="459" spans="1:16" x14ac:dyDescent="0.25">
      <c r="A459" s="27">
        <v>45014</v>
      </c>
      <c r="B459" s="23">
        <v>95</v>
      </c>
      <c r="C459" s="23">
        <v>81</v>
      </c>
      <c r="D459" s="23">
        <v>77</v>
      </c>
      <c r="E459" s="23">
        <v>4</v>
      </c>
      <c r="F459" s="23">
        <v>10</v>
      </c>
      <c r="G459" s="23">
        <v>4</v>
      </c>
      <c r="H459" s="23">
        <v>7</v>
      </c>
      <c r="I459" s="23">
        <v>14</v>
      </c>
      <c r="J459" s="23">
        <v>9</v>
      </c>
      <c r="K459" s="23">
        <v>5</v>
      </c>
      <c r="L459" s="23">
        <v>8</v>
      </c>
      <c r="M459" s="23">
        <v>10</v>
      </c>
      <c r="N459" s="23">
        <v>3</v>
      </c>
      <c r="O459" s="23">
        <v>11</v>
      </c>
      <c r="P459" s="28">
        <v>10</v>
      </c>
    </row>
    <row r="460" spans="1:16" x14ac:dyDescent="0.25">
      <c r="A460" s="27">
        <v>45015</v>
      </c>
      <c r="B460" s="23">
        <v>108</v>
      </c>
      <c r="C460" s="23">
        <v>93</v>
      </c>
      <c r="D460" s="23">
        <v>88</v>
      </c>
      <c r="E460" s="23">
        <v>5</v>
      </c>
      <c r="F460" s="23">
        <v>13</v>
      </c>
      <c r="G460" s="23">
        <v>2</v>
      </c>
      <c r="H460" s="23">
        <v>4</v>
      </c>
      <c r="I460" s="23">
        <v>14</v>
      </c>
      <c r="J460" s="23">
        <v>8</v>
      </c>
      <c r="K460" s="23">
        <v>8</v>
      </c>
      <c r="L460" s="23">
        <v>10</v>
      </c>
      <c r="M460" s="23">
        <v>12</v>
      </c>
      <c r="N460" s="23">
        <v>8</v>
      </c>
      <c r="O460" s="23">
        <v>15</v>
      </c>
      <c r="P460" s="28">
        <v>9</v>
      </c>
    </row>
    <row r="461" spans="1:16" x14ac:dyDescent="0.25">
      <c r="A461" s="27">
        <v>45016</v>
      </c>
      <c r="B461" s="23">
        <v>75</v>
      </c>
      <c r="C461" s="23">
        <v>63</v>
      </c>
      <c r="D461" s="23">
        <v>62</v>
      </c>
      <c r="E461" s="23">
        <v>1</v>
      </c>
      <c r="F461" s="23">
        <v>10</v>
      </c>
      <c r="G461" s="23">
        <v>2</v>
      </c>
      <c r="H461" s="23">
        <v>2</v>
      </c>
      <c r="I461" s="23">
        <v>14</v>
      </c>
      <c r="J461" s="23">
        <v>8</v>
      </c>
      <c r="K461" s="23">
        <v>7</v>
      </c>
      <c r="L461" s="23">
        <v>7</v>
      </c>
      <c r="M461" s="23">
        <v>9</v>
      </c>
      <c r="N461" s="23">
        <v>2</v>
      </c>
      <c r="O461" s="23">
        <v>7</v>
      </c>
      <c r="P461" s="28">
        <v>6</v>
      </c>
    </row>
    <row r="462" spans="1:16" x14ac:dyDescent="0.25">
      <c r="A462" s="27">
        <v>45017</v>
      </c>
      <c r="B462" s="23">
        <v>75</v>
      </c>
      <c r="C462" s="23">
        <v>64</v>
      </c>
      <c r="D462" s="23">
        <v>59</v>
      </c>
      <c r="E462" s="23">
        <v>5</v>
      </c>
      <c r="F462" s="23">
        <v>11</v>
      </c>
      <c r="G462" s="23">
        <v>0</v>
      </c>
      <c r="H462" s="23">
        <v>1</v>
      </c>
      <c r="I462" s="23">
        <v>5</v>
      </c>
      <c r="J462" s="23">
        <v>6</v>
      </c>
      <c r="K462" s="23">
        <v>6</v>
      </c>
      <c r="L462" s="23">
        <v>8</v>
      </c>
      <c r="M462" s="23">
        <v>9</v>
      </c>
      <c r="N462" s="23">
        <v>5</v>
      </c>
      <c r="O462" s="23">
        <v>16</v>
      </c>
      <c r="P462" s="28">
        <v>3</v>
      </c>
    </row>
    <row r="463" spans="1:16" x14ac:dyDescent="0.25">
      <c r="A463" s="27">
        <v>45018</v>
      </c>
      <c r="B463" s="23">
        <v>78</v>
      </c>
      <c r="C463" s="23">
        <v>65</v>
      </c>
      <c r="D463" s="23">
        <v>61</v>
      </c>
      <c r="E463" s="23">
        <v>4</v>
      </c>
      <c r="F463" s="23">
        <v>11</v>
      </c>
      <c r="G463" s="23">
        <v>2</v>
      </c>
      <c r="H463" s="23">
        <v>1</v>
      </c>
      <c r="I463" s="23">
        <v>12</v>
      </c>
      <c r="J463" s="23">
        <v>3</v>
      </c>
      <c r="K463" s="23">
        <v>5</v>
      </c>
      <c r="L463" s="23">
        <v>7</v>
      </c>
      <c r="M463" s="23">
        <v>11</v>
      </c>
      <c r="N463" s="23">
        <v>7</v>
      </c>
      <c r="O463" s="23">
        <v>11</v>
      </c>
      <c r="P463" s="28">
        <v>4</v>
      </c>
    </row>
    <row r="464" spans="1:16" x14ac:dyDescent="0.25">
      <c r="A464" s="27">
        <v>45019</v>
      </c>
      <c r="B464" s="23">
        <v>87</v>
      </c>
      <c r="C464" s="23">
        <v>80</v>
      </c>
      <c r="D464" s="23">
        <v>79</v>
      </c>
      <c r="E464" s="23">
        <v>1</v>
      </c>
      <c r="F464" s="23">
        <v>7</v>
      </c>
      <c r="G464" s="23">
        <v>0</v>
      </c>
      <c r="H464" s="23">
        <v>7</v>
      </c>
      <c r="I464" s="23">
        <v>10</v>
      </c>
      <c r="J464" s="23">
        <v>9</v>
      </c>
      <c r="K464" s="23">
        <v>9</v>
      </c>
      <c r="L464" s="23">
        <v>7</v>
      </c>
      <c r="M464" s="23">
        <v>13</v>
      </c>
      <c r="N464" s="23">
        <v>4</v>
      </c>
      <c r="O464" s="23">
        <v>12</v>
      </c>
      <c r="P464" s="28">
        <v>8</v>
      </c>
    </row>
    <row r="465" spans="1:16" x14ac:dyDescent="0.25">
      <c r="A465" s="27">
        <v>45020</v>
      </c>
      <c r="B465" s="23">
        <v>99</v>
      </c>
      <c r="C465" s="23">
        <v>90</v>
      </c>
      <c r="D465" s="23">
        <v>83</v>
      </c>
      <c r="E465" s="23">
        <v>7</v>
      </c>
      <c r="F465" s="23">
        <v>8</v>
      </c>
      <c r="G465" s="23">
        <v>1</v>
      </c>
      <c r="H465" s="23">
        <v>9</v>
      </c>
      <c r="I465" s="23">
        <v>19</v>
      </c>
      <c r="J465" s="23">
        <v>6</v>
      </c>
      <c r="K465" s="23">
        <v>6</v>
      </c>
      <c r="L465" s="23">
        <v>7</v>
      </c>
      <c r="M465" s="23">
        <v>11</v>
      </c>
      <c r="N465" s="23">
        <v>6</v>
      </c>
      <c r="O465" s="23">
        <v>11</v>
      </c>
      <c r="P465" s="28">
        <v>8</v>
      </c>
    </row>
    <row r="466" spans="1:16" x14ac:dyDescent="0.25">
      <c r="A466" s="27">
        <v>45021</v>
      </c>
      <c r="B466" s="23">
        <v>66</v>
      </c>
      <c r="C466" s="23">
        <v>55</v>
      </c>
      <c r="D466" s="23">
        <v>50</v>
      </c>
      <c r="E466" s="23">
        <v>5</v>
      </c>
      <c r="F466" s="23">
        <v>10</v>
      </c>
      <c r="G466" s="23">
        <v>1</v>
      </c>
      <c r="H466" s="23">
        <v>5</v>
      </c>
      <c r="I466" s="23">
        <v>3</v>
      </c>
      <c r="J466" s="23">
        <v>7</v>
      </c>
      <c r="K466" s="23">
        <v>3</v>
      </c>
      <c r="L466" s="23">
        <v>5</v>
      </c>
      <c r="M466" s="23">
        <v>9</v>
      </c>
      <c r="N466" s="23">
        <v>5</v>
      </c>
      <c r="O466" s="23">
        <v>9</v>
      </c>
      <c r="P466" s="28">
        <v>4</v>
      </c>
    </row>
    <row r="467" spans="1:16" x14ac:dyDescent="0.25">
      <c r="A467" s="27">
        <v>45022</v>
      </c>
      <c r="B467" s="23">
        <v>103</v>
      </c>
      <c r="C467" s="23">
        <v>89</v>
      </c>
      <c r="D467" s="23">
        <v>87</v>
      </c>
      <c r="E467" s="23">
        <v>1</v>
      </c>
      <c r="F467" s="23">
        <v>11</v>
      </c>
      <c r="G467" s="23">
        <v>3</v>
      </c>
      <c r="H467" s="23">
        <v>5</v>
      </c>
      <c r="I467" s="23">
        <v>11</v>
      </c>
      <c r="J467" s="23">
        <v>10</v>
      </c>
      <c r="K467" s="23">
        <v>6</v>
      </c>
      <c r="L467" s="23">
        <v>12</v>
      </c>
      <c r="M467" s="23">
        <v>13</v>
      </c>
      <c r="N467" s="23">
        <v>5</v>
      </c>
      <c r="O467" s="23">
        <v>14</v>
      </c>
      <c r="P467" s="28">
        <v>11</v>
      </c>
    </row>
    <row r="468" spans="1:16" x14ac:dyDescent="0.25">
      <c r="A468" s="27">
        <v>45023</v>
      </c>
      <c r="B468" s="23">
        <v>94</v>
      </c>
      <c r="C468" s="23">
        <v>82</v>
      </c>
      <c r="D468" s="23">
        <v>76</v>
      </c>
      <c r="E468" s="23">
        <v>6</v>
      </c>
      <c r="F468" s="23">
        <v>11</v>
      </c>
      <c r="G468" s="23">
        <v>1</v>
      </c>
      <c r="H468" s="23">
        <v>5</v>
      </c>
      <c r="I468" s="23">
        <v>20</v>
      </c>
      <c r="J468" s="23">
        <v>6</v>
      </c>
      <c r="K468" s="23">
        <v>5</v>
      </c>
      <c r="L468" s="23">
        <v>9</v>
      </c>
      <c r="M468" s="23">
        <v>12</v>
      </c>
      <c r="N468" s="23">
        <v>4</v>
      </c>
      <c r="O468" s="23">
        <v>9</v>
      </c>
      <c r="P468" s="28">
        <v>6</v>
      </c>
    </row>
    <row r="469" spans="1:16" x14ac:dyDescent="0.25">
      <c r="A469" s="27">
        <v>45024</v>
      </c>
      <c r="B469" s="23">
        <v>84</v>
      </c>
      <c r="C469" s="23">
        <v>62</v>
      </c>
      <c r="D469" s="23">
        <v>59</v>
      </c>
      <c r="E469" s="23">
        <v>3</v>
      </c>
      <c r="F469" s="23">
        <v>19</v>
      </c>
      <c r="G469" s="23">
        <v>3</v>
      </c>
      <c r="H469" s="23">
        <v>7</v>
      </c>
      <c r="I469" s="23">
        <v>9</v>
      </c>
      <c r="J469" s="23">
        <v>7</v>
      </c>
      <c r="K469" s="23">
        <v>7</v>
      </c>
      <c r="L469" s="23">
        <v>3</v>
      </c>
      <c r="M469" s="23">
        <v>9</v>
      </c>
      <c r="N469" s="23">
        <v>3</v>
      </c>
      <c r="O469" s="23">
        <v>8</v>
      </c>
      <c r="P469" s="28">
        <v>6</v>
      </c>
    </row>
    <row r="470" spans="1:16" x14ac:dyDescent="0.25">
      <c r="A470" s="27">
        <v>45025</v>
      </c>
      <c r="B470" s="23">
        <v>70</v>
      </c>
      <c r="C470" s="23">
        <v>57</v>
      </c>
      <c r="D470" s="23">
        <v>55</v>
      </c>
      <c r="E470" s="23">
        <v>1</v>
      </c>
      <c r="F470" s="23">
        <v>11</v>
      </c>
      <c r="G470" s="23">
        <v>2</v>
      </c>
      <c r="H470" s="23">
        <v>5</v>
      </c>
      <c r="I470" s="23">
        <v>6</v>
      </c>
      <c r="J470" s="23">
        <v>9</v>
      </c>
      <c r="K470" s="23">
        <v>1</v>
      </c>
      <c r="L470" s="23">
        <v>6</v>
      </c>
      <c r="M470" s="23">
        <v>3</v>
      </c>
      <c r="N470" s="23">
        <v>9</v>
      </c>
      <c r="O470" s="23">
        <v>10</v>
      </c>
      <c r="P470" s="28">
        <v>6</v>
      </c>
    </row>
    <row r="471" spans="1:16" x14ac:dyDescent="0.25">
      <c r="A471" s="27">
        <v>45026</v>
      </c>
      <c r="B471" s="23">
        <v>74</v>
      </c>
      <c r="C471" s="23">
        <v>69</v>
      </c>
      <c r="D471" s="23">
        <v>67</v>
      </c>
      <c r="E471" s="23">
        <v>2</v>
      </c>
      <c r="F471" s="23">
        <v>3</v>
      </c>
      <c r="G471" s="23">
        <v>2</v>
      </c>
      <c r="H471" s="23">
        <v>3</v>
      </c>
      <c r="I471" s="23">
        <v>8</v>
      </c>
      <c r="J471" s="23">
        <v>10</v>
      </c>
      <c r="K471" s="23">
        <v>6</v>
      </c>
      <c r="L471" s="23">
        <v>7</v>
      </c>
      <c r="M471" s="23">
        <v>8</v>
      </c>
      <c r="N471" s="23">
        <v>6</v>
      </c>
      <c r="O471" s="23">
        <v>13</v>
      </c>
      <c r="P471" s="28">
        <v>6</v>
      </c>
    </row>
    <row r="472" spans="1:16" x14ac:dyDescent="0.25">
      <c r="A472" s="27">
        <v>45027</v>
      </c>
      <c r="B472" s="23">
        <v>75</v>
      </c>
      <c r="C472" s="23">
        <v>62</v>
      </c>
      <c r="D472" s="23">
        <v>57</v>
      </c>
      <c r="E472" s="23">
        <v>5</v>
      </c>
      <c r="F472" s="23">
        <v>11</v>
      </c>
      <c r="G472" s="23">
        <v>2</v>
      </c>
      <c r="H472" s="23">
        <v>2</v>
      </c>
      <c r="I472" s="23">
        <v>11</v>
      </c>
      <c r="J472" s="23">
        <v>3</v>
      </c>
      <c r="K472" s="23">
        <v>5</v>
      </c>
      <c r="L472" s="23">
        <v>7</v>
      </c>
      <c r="M472" s="23">
        <v>2</v>
      </c>
      <c r="N472" s="23">
        <v>5</v>
      </c>
      <c r="O472" s="23">
        <v>12</v>
      </c>
      <c r="P472" s="28">
        <v>10</v>
      </c>
    </row>
    <row r="473" spans="1:16" x14ac:dyDescent="0.25">
      <c r="A473" s="27">
        <v>45028</v>
      </c>
      <c r="B473" s="23">
        <v>76</v>
      </c>
      <c r="C473" s="23">
        <v>66</v>
      </c>
      <c r="D473" s="23">
        <v>63</v>
      </c>
      <c r="E473" s="23">
        <v>3</v>
      </c>
      <c r="F473" s="23">
        <v>9</v>
      </c>
      <c r="G473" s="23">
        <v>1</v>
      </c>
      <c r="H473" s="23">
        <v>7</v>
      </c>
      <c r="I473" s="23">
        <v>9</v>
      </c>
      <c r="J473" s="23">
        <v>5</v>
      </c>
      <c r="K473" s="23">
        <v>9</v>
      </c>
      <c r="L473" s="23">
        <v>2</v>
      </c>
      <c r="M473" s="23">
        <v>4</v>
      </c>
      <c r="N473" s="23">
        <v>9</v>
      </c>
      <c r="O473" s="23">
        <v>11</v>
      </c>
      <c r="P473" s="28">
        <v>7</v>
      </c>
    </row>
    <row r="474" spans="1:16" x14ac:dyDescent="0.25">
      <c r="A474" s="27">
        <v>45029</v>
      </c>
      <c r="B474" s="23">
        <v>91</v>
      </c>
      <c r="C474" s="23">
        <v>76</v>
      </c>
      <c r="D474" s="23">
        <v>75</v>
      </c>
      <c r="E474" s="23">
        <v>1</v>
      </c>
      <c r="F474" s="23">
        <v>15</v>
      </c>
      <c r="G474" s="23">
        <v>0</v>
      </c>
      <c r="H474" s="23">
        <v>8</v>
      </c>
      <c r="I474" s="23">
        <v>14</v>
      </c>
      <c r="J474" s="23">
        <v>6</v>
      </c>
      <c r="K474" s="23">
        <v>10</v>
      </c>
      <c r="L474" s="23">
        <v>8</v>
      </c>
      <c r="M474" s="23">
        <v>5</v>
      </c>
      <c r="N474" s="23">
        <v>7</v>
      </c>
      <c r="O474" s="23">
        <v>10</v>
      </c>
      <c r="P474" s="28">
        <v>7</v>
      </c>
    </row>
    <row r="475" spans="1:16" x14ac:dyDescent="0.25">
      <c r="A475" s="27">
        <v>45030</v>
      </c>
      <c r="B475" s="23">
        <v>80</v>
      </c>
      <c r="C475" s="23">
        <v>64</v>
      </c>
      <c r="D475" s="23">
        <v>63</v>
      </c>
      <c r="E475" s="23">
        <v>1</v>
      </c>
      <c r="F475" s="23">
        <v>15</v>
      </c>
      <c r="G475" s="23">
        <v>1</v>
      </c>
      <c r="H475" s="23">
        <v>4</v>
      </c>
      <c r="I475" s="23">
        <v>8</v>
      </c>
      <c r="J475" s="23">
        <v>7</v>
      </c>
      <c r="K475" s="23">
        <v>7</v>
      </c>
      <c r="L475" s="23">
        <v>7</v>
      </c>
      <c r="M475" s="23">
        <v>10</v>
      </c>
      <c r="N475" s="23">
        <v>4</v>
      </c>
      <c r="O475" s="23">
        <v>8</v>
      </c>
      <c r="P475" s="28">
        <v>8</v>
      </c>
    </row>
    <row r="476" spans="1:16" x14ac:dyDescent="0.25">
      <c r="A476" s="27">
        <v>45031</v>
      </c>
      <c r="B476" s="23">
        <v>70</v>
      </c>
      <c r="C476" s="23">
        <v>65</v>
      </c>
      <c r="D476" s="23">
        <v>60</v>
      </c>
      <c r="E476" s="23">
        <v>5</v>
      </c>
      <c r="F476" s="23">
        <v>4</v>
      </c>
      <c r="G476" s="23">
        <v>1</v>
      </c>
      <c r="H476" s="23">
        <v>5</v>
      </c>
      <c r="I476" s="23">
        <v>6</v>
      </c>
      <c r="J476" s="23">
        <v>8</v>
      </c>
      <c r="K476" s="23">
        <v>2</v>
      </c>
      <c r="L476" s="23">
        <v>9</v>
      </c>
      <c r="M476" s="23">
        <v>6</v>
      </c>
      <c r="N476" s="23">
        <v>6</v>
      </c>
      <c r="O476" s="23">
        <v>13</v>
      </c>
      <c r="P476" s="28">
        <v>5</v>
      </c>
    </row>
    <row r="477" spans="1:16" x14ac:dyDescent="0.25">
      <c r="A477" s="27">
        <v>45032</v>
      </c>
      <c r="B477" s="23">
        <v>79</v>
      </c>
      <c r="C477" s="23">
        <v>64</v>
      </c>
      <c r="D477" s="23">
        <v>58</v>
      </c>
      <c r="E477" s="23">
        <v>6</v>
      </c>
      <c r="F477" s="23">
        <v>14</v>
      </c>
      <c r="G477" s="23">
        <v>1</v>
      </c>
      <c r="H477" s="23">
        <v>4</v>
      </c>
      <c r="I477" s="23">
        <v>8</v>
      </c>
      <c r="J477" s="23">
        <v>8</v>
      </c>
      <c r="K477" s="23">
        <v>4</v>
      </c>
      <c r="L477" s="23">
        <v>9</v>
      </c>
      <c r="M477" s="23">
        <v>8</v>
      </c>
      <c r="N477" s="23">
        <v>3</v>
      </c>
      <c r="O477" s="23">
        <v>10</v>
      </c>
      <c r="P477" s="28">
        <v>4</v>
      </c>
    </row>
    <row r="478" spans="1:16" x14ac:dyDescent="0.25">
      <c r="A478" s="27">
        <v>45033</v>
      </c>
      <c r="B478" s="23">
        <v>65</v>
      </c>
      <c r="C478" s="23">
        <v>55</v>
      </c>
      <c r="D478" s="23">
        <v>52</v>
      </c>
      <c r="E478" s="23">
        <v>3</v>
      </c>
      <c r="F478" s="23">
        <v>8</v>
      </c>
      <c r="G478" s="23">
        <v>2</v>
      </c>
      <c r="H478" s="23">
        <v>5</v>
      </c>
      <c r="I478" s="23">
        <v>4</v>
      </c>
      <c r="J478" s="23">
        <v>3</v>
      </c>
      <c r="K478" s="23">
        <v>2</v>
      </c>
      <c r="L478" s="23">
        <v>12</v>
      </c>
      <c r="M478" s="23">
        <v>7</v>
      </c>
      <c r="N478" s="23">
        <v>2</v>
      </c>
      <c r="O478" s="23">
        <v>16</v>
      </c>
      <c r="P478" s="28">
        <v>1</v>
      </c>
    </row>
    <row r="479" spans="1:16" x14ac:dyDescent="0.25">
      <c r="A479" s="27">
        <v>45034</v>
      </c>
      <c r="B479" s="23">
        <v>67</v>
      </c>
      <c r="C479" s="23">
        <v>58</v>
      </c>
      <c r="D479" s="23">
        <v>54</v>
      </c>
      <c r="E479" s="23">
        <v>4</v>
      </c>
      <c r="F479" s="23">
        <v>8</v>
      </c>
      <c r="G479" s="23">
        <v>1</v>
      </c>
      <c r="H479" s="23">
        <v>2</v>
      </c>
      <c r="I479" s="23">
        <v>6</v>
      </c>
      <c r="J479" s="23">
        <v>8</v>
      </c>
      <c r="K479" s="23">
        <v>3</v>
      </c>
      <c r="L479" s="23">
        <v>4</v>
      </c>
      <c r="M479" s="23">
        <v>7</v>
      </c>
      <c r="N479" s="23">
        <v>8</v>
      </c>
      <c r="O479" s="23">
        <v>11</v>
      </c>
      <c r="P479" s="28">
        <v>5</v>
      </c>
    </row>
    <row r="480" spans="1:16" x14ac:dyDescent="0.25">
      <c r="A480" s="27">
        <v>45035</v>
      </c>
      <c r="B480" s="23">
        <v>81</v>
      </c>
      <c r="C480" s="23">
        <v>66</v>
      </c>
      <c r="D480" s="23">
        <v>64</v>
      </c>
      <c r="E480" s="23">
        <v>2</v>
      </c>
      <c r="F480" s="23">
        <v>13</v>
      </c>
      <c r="G480" s="23">
        <v>2</v>
      </c>
      <c r="H480" s="23">
        <v>2</v>
      </c>
      <c r="I480" s="23">
        <v>10</v>
      </c>
      <c r="J480" s="23">
        <v>3</v>
      </c>
      <c r="K480" s="23">
        <v>5</v>
      </c>
      <c r="L480" s="23">
        <v>14</v>
      </c>
      <c r="M480" s="23">
        <v>7</v>
      </c>
      <c r="N480" s="23">
        <v>5</v>
      </c>
      <c r="O480" s="23">
        <v>15</v>
      </c>
      <c r="P480" s="28">
        <v>3</v>
      </c>
    </row>
    <row r="481" spans="1:16" x14ac:dyDescent="0.25">
      <c r="A481" s="27">
        <v>45036</v>
      </c>
      <c r="B481" s="23">
        <v>72</v>
      </c>
      <c r="C481" s="23">
        <v>59</v>
      </c>
      <c r="D481" s="23">
        <v>54</v>
      </c>
      <c r="E481" s="23">
        <v>5</v>
      </c>
      <c r="F481" s="23">
        <v>7</v>
      </c>
      <c r="G481" s="23">
        <v>6</v>
      </c>
      <c r="H481" s="23">
        <v>2</v>
      </c>
      <c r="I481" s="23">
        <v>5</v>
      </c>
      <c r="J481" s="23">
        <v>2</v>
      </c>
      <c r="K481" s="23">
        <v>8</v>
      </c>
      <c r="L481" s="23">
        <v>9</v>
      </c>
      <c r="M481" s="23">
        <v>8</v>
      </c>
      <c r="N481" s="23">
        <v>6</v>
      </c>
      <c r="O481" s="23">
        <v>11</v>
      </c>
      <c r="P481" s="28">
        <v>3</v>
      </c>
    </row>
    <row r="482" spans="1:16" x14ac:dyDescent="0.25">
      <c r="A482" s="27">
        <v>45037</v>
      </c>
      <c r="B482" s="23">
        <v>83</v>
      </c>
      <c r="C482" s="23">
        <v>75</v>
      </c>
      <c r="D482" s="23">
        <v>71</v>
      </c>
      <c r="E482" s="23">
        <v>4</v>
      </c>
      <c r="F482" s="23">
        <v>7</v>
      </c>
      <c r="G482" s="23">
        <v>1</v>
      </c>
      <c r="H482" s="23">
        <v>2</v>
      </c>
      <c r="I482" s="23">
        <v>13</v>
      </c>
      <c r="J482" s="23">
        <v>7</v>
      </c>
      <c r="K482" s="23">
        <v>9</v>
      </c>
      <c r="L482" s="23">
        <v>12</v>
      </c>
      <c r="M482" s="23">
        <v>5</v>
      </c>
      <c r="N482" s="23">
        <v>8</v>
      </c>
      <c r="O482" s="23">
        <v>5</v>
      </c>
      <c r="P482" s="28">
        <v>10</v>
      </c>
    </row>
    <row r="483" spans="1:16" x14ac:dyDescent="0.25">
      <c r="A483" s="27">
        <v>45038</v>
      </c>
      <c r="B483" s="23">
        <v>55</v>
      </c>
      <c r="C483" s="23">
        <v>49</v>
      </c>
      <c r="D483" s="23">
        <v>45</v>
      </c>
      <c r="E483" s="23">
        <v>4</v>
      </c>
      <c r="F483" s="23">
        <v>3</v>
      </c>
      <c r="G483" s="23">
        <v>3</v>
      </c>
      <c r="H483" s="23">
        <v>3</v>
      </c>
      <c r="I483" s="23">
        <v>7</v>
      </c>
      <c r="J483" s="23">
        <v>11</v>
      </c>
      <c r="K483" s="23">
        <v>5</v>
      </c>
      <c r="L483" s="23">
        <v>5</v>
      </c>
      <c r="M483" s="23">
        <v>4</v>
      </c>
      <c r="N483" s="23">
        <v>3</v>
      </c>
      <c r="O483" s="23">
        <v>1</v>
      </c>
      <c r="P483" s="28">
        <v>6</v>
      </c>
    </row>
    <row r="484" spans="1:16" x14ac:dyDescent="0.25">
      <c r="A484" s="27">
        <v>45039</v>
      </c>
      <c r="B484" s="23">
        <v>73</v>
      </c>
      <c r="C484" s="23">
        <v>62</v>
      </c>
      <c r="D484" s="23">
        <v>54</v>
      </c>
      <c r="E484" s="23">
        <v>8</v>
      </c>
      <c r="F484" s="23">
        <v>8</v>
      </c>
      <c r="G484" s="23">
        <v>3</v>
      </c>
      <c r="H484" s="23">
        <v>6</v>
      </c>
      <c r="I484" s="23">
        <v>8</v>
      </c>
      <c r="J484" s="23">
        <v>4</v>
      </c>
      <c r="K484" s="23">
        <v>7</v>
      </c>
      <c r="L484" s="23">
        <v>4</v>
      </c>
      <c r="M484" s="23">
        <v>5</v>
      </c>
      <c r="N484" s="23">
        <v>4</v>
      </c>
      <c r="O484" s="23">
        <v>10</v>
      </c>
      <c r="P484" s="28">
        <v>6</v>
      </c>
    </row>
    <row r="485" spans="1:16" x14ac:dyDescent="0.25">
      <c r="A485" s="27">
        <v>45040</v>
      </c>
      <c r="B485" s="23">
        <v>49</v>
      </c>
      <c r="C485" s="23">
        <v>43</v>
      </c>
      <c r="D485" s="23">
        <v>41</v>
      </c>
      <c r="E485" s="23">
        <v>2</v>
      </c>
      <c r="F485" s="23">
        <v>5</v>
      </c>
      <c r="G485" s="23">
        <v>1</v>
      </c>
      <c r="H485" s="23">
        <v>3</v>
      </c>
      <c r="I485" s="23">
        <v>7</v>
      </c>
      <c r="J485" s="23">
        <v>1</v>
      </c>
      <c r="K485" s="23">
        <v>3</v>
      </c>
      <c r="L485" s="23">
        <v>5</v>
      </c>
      <c r="M485" s="23">
        <v>7</v>
      </c>
      <c r="N485" s="23">
        <v>4</v>
      </c>
      <c r="O485" s="23">
        <v>7</v>
      </c>
      <c r="P485" s="28">
        <v>4</v>
      </c>
    </row>
    <row r="486" spans="1:16" x14ac:dyDescent="0.25">
      <c r="A486" s="27">
        <v>45041</v>
      </c>
      <c r="B486" s="23">
        <v>61</v>
      </c>
      <c r="C486" s="23">
        <v>47</v>
      </c>
      <c r="D486" s="23">
        <v>44</v>
      </c>
      <c r="E486" s="23">
        <v>3</v>
      </c>
      <c r="F486" s="23">
        <v>10</v>
      </c>
      <c r="G486" s="23">
        <v>4</v>
      </c>
      <c r="H486" s="23">
        <v>0</v>
      </c>
      <c r="I486" s="23">
        <v>5</v>
      </c>
      <c r="J486" s="23">
        <v>3</v>
      </c>
      <c r="K486" s="23">
        <v>7</v>
      </c>
      <c r="L486" s="23">
        <v>8</v>
      </c>
      <c r="M486" s="23">
        <v>6</v>
      </c>
      <c r="N486" s="23">
        <v>4</v>
      </c>
      <c r="O486" s="23">
        <v>7</v>
      </c>
      <c r="P486" s="28">
        <v>4</v>
      </c>
    </row>
    <row r="487" spans="1:16" x14ac:dyDescent="0.25">
      <c r="A487" s="27">
        <v>45042</v>
      </c>
      <c r="B487" s="23">
        <v>61</v>
      </c>
      <c r="C487" s="23">
        <v>55</v>
      </c>
      <c r="D487" s="23">
        <v>50</v>
      </c>
      <c r="E487" s="23">
        <v>5</v>
      </c>
      <c r="F487" s="23">
        <v>5</v>
      </c>
      <c r="G487" s="23">
        <v>1</v>
      </c>
      <c r="H487" s="23">
        <v>4</v>
      </c>
      <c r="I487" s="23">
        <v>6</v>
      </c>
      <c r="J487" s="23">
        <v>0</v>
      </c>
      <c r="K487" s="23">
        <v>6</v>
      </c>
      <c r="L487" s="23">
        <v>7</v>
      </c>
      <c r="M487" s="23">
        <v>11</v>
      </c>
      <c r="N487" s="23">
        <v>5</v>
      </c>
      <c r="O487" s="23">
        <v>7</v>
      </c>
      <c r="P487" s="28">
        <v>4</v>
      </c>
    </row>
    <row r="488" spans="1:16" x14ac:dyDescent="0.25">
      <c r="A488" s="27">
        <v>45043</v>
      </c>
      <c r="B488" s="23">
        <v>52</v>
      </c>
      <c r="C488" s="23">
        <v>43</v>
      </c>
      <c r="D488" s="23">
        <v>42</v>
      </c>
      <c r="E488" s="23">
        <v>1</v>
      </c>
      <c r="F488" s="23">
        <v>8</v>
      </c>
      <c r="G488" s="23">
        <v>1</v>
      </c>
      <c r="H488" s="23">
        <v>4</v>
      </c>
      <c r="I488" s="23">
        <v>6</v>
      </c>
      <c r="J488" s="23">
        <v>7</v>
      </c>
      <c r="K488" s="23">
        <v>4</v>
      </c>
      <c r="L488" s="23">
        <v>2</v>
      </c>
      <c r="M488" s="23">
        <v>7</v>
      </c>
      <c r="N488" s="23">
        <v>3</v>
      </c>
      <c r="O488" s="23">
        <v>5</v>
      </c>
      <c r="P488" s="28">
        <v>4</v>
      </c>
    </row>
    <row r="489" spans="1:16" x14ac:dyDescent="0.25">
      <c r="A489" s="27">
        <v>45044</v>
      </c>
      <c r="B489" s="23">
        <v>53</v>
      </c>
      <c r="C489" s="23">
        <v>42</v>
      </c>
      <c r="D489" s="23">
        <v>39</v>
      </c>
      <c r="E489" s="23">
        <v>3</v>
      </c>
      <c r="F489" s="23">
        <v>9</v>
      </c>
      <c r="G489" s="23">
        <v>2</v>
      </c>
      <c r="H489" s="23">
        <v>0</v>
      </c>
      <c r="I489" s="23">
        <v>4</v>
      </c>
      <c r="J489" s="23">
        <v>3</v>
      </c>
      <c r="K489" s="23">
        <v>5</v>
      </c>
      <c r="L489" s="23">
        <v>4</v>
      </c>
      <c r="M489" s="23">
        <v>4</v>
      </c>
      <c r="N489" s="23">
        <v>5</v>
      </c>
      <c r="O489" s="23">
        <v>8</v>
      </c>
      <c r="P489" s="28">
        <v>6</v>
      </c>
    </row>
    <row r="490" spans="1:16" x14ac:dyDescent="0.25">
      <c r="A490" s="27">
        <v>45045</v>
      </c>
      <c r="B490" s="23">
        <v>53</v>
      </c>
      <c r="C490" s="23">
        <v>45</v>
      </c>
      <c r="D490" s="23">
        <v>41</v>
      </c>
      <c r="E490" s="23">
        <v>4</v>
      </c>
      <c r="F490" s="23">
        <v>8</v>
      </c>
      <c r="G490" s="23">
        <v>0</v>
      </c>
      <c r="H490" s="23">
        <v>0</v>
      </c>
      <c r="I490" s="23">
        <v>8</v>
      </c>
      <c r="J490" s="23">
        <v>3</v>
      </c>
      <c r="K490" s="23">
        <v>4</v>
      </c>
      <c r="L490" s="23">
        <v>7</v>
      </c>
      <c r="M490" s="23">
        <v>9</v>
      </c>
      <c r="N490" s="23">
        <v>1</v>
      </c>
      <c r="O490" s="23">
        <v>7</v>
      </c>
      <c r="P490" s="28">
        <v>2</v>
      </c>
    </row>
    <row r="491" spans="1:16" x14ac:dyDescent="0.25">
      <c r="A491" s="27">
        <v>45046</v>
      </c>
      <c r="B491" s="23">
        <v>41</v>
      </c>
      <c r="C491" s="23">
        <v>35</v>
      </c>
      <c r="D491" s="23">
        <v>33</v>
      </c>
      <c r="E491" s="23">
        <v>2</v>
      </c>
      <c r="F491" s="23">
        <v>5</v>
      </c>
      <c r="G491" s="23">
        <v>1</v>
      </c>
      <c r="H491" s="23">
        <v>4</v>
      </c>
      <c r="I491" s="23">
        <v>0</v>
      </c>
      <c r="J491" s="23">
        <v>4</v>
      </c>
      <c r="K491" s="23">
        <v>6</v>
      </c>
      <c r="L491" s="23">
        <v>2</v>
      </c>
      <c r="M491" s="23">
        <v>3</v>
      </c>
      <c r="N491" s="23">
        <v>5</v>
      </c>
      <c r="O491" s="23">
        <v>6</v>
      </c>
      <c r="P491" s="28">
        <v>3</v>
      </c>
    </row>
    <row r="492" spans="1:16" x14ac:dyDescent="0.25">
      <c r="A492" s="27">
        <v>45047</v>
      </c>
      <c r="B492" s="23">
        <v>51</v>
      </c>
      <c r="C492" s="23">
        <v>47</v>
      </c>
      <c r="D492" s="23">
        <v>44</v>
      </c>
      <c r="E492" s="23">
        <v>3</v>
      </c>
      <c r="F492" s="23">
        <v>1</v>
      </c>
      <c r="G492" s="23">
        <v>3</v>
      </c>
      <c r="H492" s="23">
        <v>2</v>
      </c>
      <c r="I492" s="23">
        <v>9</v>
      </c>
      <c r="J492" s="23">
        <v>6</v>
      </c>
      <c r="K492" s="23">
        <v>1</v>
      </c>
      <c r="L492" s="23">
        <v>1</v>
      </c>
      <c r="M492" s="23">
        <v>8</v>
      </c>
      <c r="N492" s="23">
        <v>6</v>
      </c>
      <c r="O492" s="23">
        <v>6</v>
      </c>
      <c r="P492" s="28">
        <v>5</v>
      </c>
    </row>
    <row r="493" spans="1:16" x14ac:dyDescent="0.25">
      <c r="A493" s="27">
        <v>45048</v>
      </c>
      <c r="B493" s="23">
        <v>58</v>
      </c>
      <c r="C493" s="23">
        <v>48</v>
      </c>
      <c r="D493" s="23">
        <v>42</v>
      </c>
      <c r="E493" s="23">
        <v>6</v>
      </c>
      <c r="F493" s="23">
        <v>7</v>
      </c>
      <c r="G493" s="23">
        <v>3</v>
      </c>
      <c r="H493" s="23">
        <v>4</v>
      </c>
      <c r="I493" s="23">
        <v>6</v>
      </c>
      <c r="J493" s="23">
        <v>3</v>
      </c>
      <c r="K493" s="23">
        <v>4</v>
      </c>
      <c r="L493" s="23">
        <v>6</v>
      </c>
      <c r="M493" s="23">
        <v>7</v>
      </c>
      <c r="N493" s="23">
        <v>2</v>
      </c>
      <c r="O493" s="23">
        <v>5</v>
      </c>
      <c r="P493" s="28">
        <v>5</v>
      </c>
    </row>
    <row r="494" spans="1:16" x14ac:dyDescent="0.25">
      <c r="A494" s="27">
        <v>45049</v>
      </c>
      <c r="B494" s="23">
        <v>49</v>
      </c>
      <c r="C494" s="23">
        <v>44</v>
      </c>
      <c r="D494" s="23">
        <v>43</v>
      </c>
      <c r="E494" s="23">
        <v>1</v>
      </c>
      <c r="F494" s="23">
        <v>5</v>
      </c>
      <c r="G494" s="23">
        <v>0</v>
      </c>
      <c r="H494" s="23">
        <v>3</v>
      </c>
      <c r="I494" s="23">
        <v>3</v>
      </c>
      <c r="J494" s="23">
        <v>8</v>
      </c>
      <c r="K494" s="23">
        <v>1</v>
      </c>
      <c r="L494" s="23">
        <v>3</v>
      </c>
      <c r="M494" s="23">
        <v>8</v>
      </c>
      <c r="N494" s="23">
        <v>4</v>
      </c>
      <c r="O494" s="23">
        <v>9</v>
      </c>
      <c r="P494" s="28">
        <v>4</v>
      </c>
    </row>
    <row r="495" spans="1:16" x14ac:dyDescent="0.25">
      <c r="A495" s="27">
        <v>45050</v>
      </c>
      <c r="B495" s="23">
        <v>54</v>
      </c>
      <c r="C495" s="23">
        <v>47</v>
      </c>
      <c r="D495" s="23">
        <v>42</v>
      </c>
      <c r="E495" s="23">
        <v>5</v>
      </c>
      <c r="F495" s="23">
        <v>6</v>
      </c>
      <c r="G495" s="23">
        <v>1</v>
      </c>
      <c r="H495" s="23">
        <v>3</v>
      </c>
      <c r="I495" s="23">
        <v>12</v>
      </c>
      <c r="J495" s="23">
        <v>4</v>
      </c>
      <c r="K495" s="23">
        <v>4</v>
      </c>
      <c r="L495" s="23">
        <v>1</v>
      </c>
      <c r="M495" s="23">
        <v>5</v>
      </c>
      <c r="N495" s="23">
        <v>2</v>
      </c>
      <c r="O495" s="23">
        <v>6</v>
      </c>
      <c r="P495" s="28">
        <v>5</v>
      </c>
    </row>
    <row r="496" spans="1:16" x14ac:dyDescent="0.25">
      <c r="A496" s="27">
        <v>45051</v>
      </c>
      <c r="B496" s="23">
        <v>45</v>
      </c>
      <c r="C496" s="23">
        <v>39</v>
      </c>
      <c r="D496" s="23">
        <v>38</v>
      </c>
      <c r="E496" s="23">
        <v>1</v>
      </c>
      <c r="F496" s="23">
        <v>4</v>
      </c>
      <c r="G496" s="23">
        <v>2</v>
      </c>
      <c r="H496" s="23">
        <v>2</v>
      </c>
      <c r="I496" s="23">
        <v>6</v>
      </c>
      <c r="J496" s="23">
        <v>2</v>
      </c>
      <c r="K496" s="23">
        <v>3</v>
      </c>
      <c r="L496" s="23">
        <v>7</v>
      </c>
      <c r="M496" s="23">
        <v>6</v>
      </c>
      <c r="N496" s="23">
        <v>5</v>
      </c>
      <c r="O496" s="23">
        <v>5</v>
      </c>
      <c r="P496" s="28">
        <v>2</v>
      </c>
    </row>
    <row r="497" spans="1:16" x14ac:dyDescent="0.25">
      <c r="A497" s="27">
        <v>45052</v>
      </c>
      <c r="B497" s="23">
        <v>47</v>
      </c>
      <c r="C497" s="23">
        <v>40</v>
      </c>
      <c r="D497" s="23">
        <v>37</v>
      </c>
      <c r="E497" s="23">
        <v>3</v>
      </c>
      <c r="F497" s="23">
        <v>6</v>
      </c>
      <c r="G497" s="23">
        <v>1</v>
      </c>
      <c r="H497" s="23">
        <v>2</v>
      </c>
      <c r="I497" s="23">
        <v>3</v>
      </c>
      <c r="J497" s="23">
        <v>4</v>
      </c>
      <c r="K497" s="23">
        <v>2</v>
      </c>
      <c r="L497" s="23">
        <v>5</v>
      </c>
      <c r="M497" s="23">
        <v>6</v>
      </c>
      <c r="N497" s="23">
        <v>6</v>
      </c>
      <c r="O497" s="23">
        <v>6</v>
      </c>
      <c r="P497" s="28">
        <v>3</v>
      </c>
    </row>
    <row r="498" spans="1:16" x14ac:dyDescent="0.25">
      <c r="A498" s="27">
        <v>45053</v>
      </c>
      <c r="B498" s="23">
        <v>53</v>
      </c>
      <c r="C498" s="23">
        <v>47</v>
      </c>
      <c r="D498" s="23">
        <v>44</v>
      </c>
      <c r="E498" s="23">
        <v>3</v>
      </c>
      <c r="F498" s="23">
        <v>4</v>
      </c>
      <c r="G498" s="23">
        <v>2</v>
      </c>
      <c r="H498" s="23">
        <v>1</v>
      </c>
      <c r="I498" s="23">
        <v>6</v>
      </c>
      <c r="J498" s="23">
        <v>7</v>
      </c>
      <c r="K498" s="23">
        <v>2</v>
      </c>
      <c r="L498" s="23">
        <v>6</v>
      </c>
      <c r="M498" s="23">
        <v>6</v>
      </c>
      <c r="N498" s="23">
        <v>1</v>
      </c>
      <c r="O498" s="23">
        <v>11</v>
      </c>
      <c r="P498" s="28">
        <v>4</v>
      </c>
    </row>
    <row r="499" spans="1:16" x14ac:dyDescent="0.25">
      <c r="A499" s="27">
        <v>45054</v>
      </c>
      <c r="B499" s="23">
        <v>38</v>
      </c>
      <c r="C499" s="23">
        <v>34</v>
      </c>
      <c r="D499" s="23">
        <v>34</v>
      </c>
      <c r="E499" s="23">
        <v>0</v>
      </c>
      <c r="F499" s="23">
        <v>3</v>
      </c>
      <c r="G499" s="23">
        <v>1</v>
      </c>
      <c r="H499" s="23">
        <v>5</v>
      </c>
      <c r="I499" s="23">
        <v>4</v>
      </c>
      <c r="J499" s="23">
        <v>4</v>
      </c>
      <c r="K499" s="23">
        <v>2</v>
      </c>
      <c r="L499" s="23">
        <v>7</v>
      </c>
      <c r="M499" s="23">
        <v>3</v>
      </c>
      <c r="N499" s="23">
        <v>2</v>
      </c>
      <c r="O499" s="23">
        <v>6</v>
      </c>
      <c r="P499" s="28">
        <v>1</v>
      </c>
    </row>
    <row r="500" spans="1:16" x14ac:dyDescent="0.25">
      <c r="A500" s="27">
        <v>45055</v>
      </c>
      <c r="B500" s="23">
        <v>36</v>
      </c>
      <c r="C500" s="23">
        <v>34</v>
      </c>
      <c r="D500" s="23">
        <v>32</v>
      </c>
      <c r="E500" s="23">
        <v>2</v>
      </c>
      <c r="F500" s="23">
        <v>1</v>
      </c>
      <c r="G500" s="23">
        <v>1</v>
      </c>
      <c r="H500" s="23">
        <v>2</v>
      </c>
      <c r="I500" s="23">
        <v>3</v>
      </c>
      <c r="J500" s="23">
        <v>3</v>
      </c>
      <c r="K500" s="23">
        <v>5</v>
      </c>
      <c r="L500" s="23">
        <v>5</v>
      </c>
      <c r="M500" s="23">
        <v>8</v>
      </c>
      <c r="N500" s="23">
        <v>1</v>
      </c>
      <c r="O500" s="23">
        <v>3</v>
      </c>
      <c r="P500" s="28">
        <v>2</v>
      </c>
    </row>
    <row r="501" spans="1:16" x14ac:dyDescent="0.25">
      <c r="A501" s="27">
        <v>45056</v>
      </c>
      <c r="B501" s="23">
        <v>41</v>
      </c>
      <c r="C501" s="23">
        <v>38</v>
      </c>
      <c r="D501" s="23">
        <v>34</v>
      </c>
      <c r="E501" s="23">
        <v>4</v>
      </c>
      <c r="F501" s="23">
        <v>1</v>
      </c>
      <c r="G501" s="23">
        <v>2</v>
      </c>
      <c r="H501" s="23">
        <v>3</v>
      </c>
      <c r="I501" s="23">
        <v>1</v>
      </c>
      <c r="J501" s="23">
        <v>4</v>
      </c>
      <c r="K501" s="23">
        <v>4</v>
      </c>
      <c r="L501" s="23">
        <v>2</v>
      </c>
      <c r="M501" s="23">
        <v>5</v>
      </c>
      <c r="N501" s="23">
        <v>7</v>
      </c>
      <c r="O501" s="23">
        <v>6</v>
      </c>
      <c r="P501" s="28">
        <v>2</v>
      </c>
    </row>
    <row r="502" spans="1:16" x14ac:dyDescent="0.25">
      <c r="A502" s="27">
        <v>45057</v>
      </c>
      <c r="B502" s="23">
        <v>55</v>
      </c>
      <c r="C502" s="23">
        <v>51</v>
      </c>
      <c r="D502" s="23">
        <v>46</v>
      </c>
      <c r="E502" s="23">
        <v>5</v>
      </c>
      <c r="F502" s="23">
        <v>4</v>
      </c>
      <c r="G502" s="23">
        <v>0</v>
      </c>
      <c r="H502" s="23">
        <v>5</v>
      </c>
      <c r="I502" s="23">
        <v>7</v>
      </c>
      <c r="J502" s="23">
        <v>4</v>
      </c>
      <c r="K502" s="23">
        <v>5</v>
      </c>
      <c r="L502" s="23">
        <v>7</v>
      </c>
      <c r="M502" s="23">
        <v>3</v>
      </c>
      <c r="N502" s="23">
        <v>2</v>
      </c>
      <c r="O502" s="23">
        <v>10</v>
      </c>
      <c r="P502" s="28">
        <v>3</v>
      </c>
    </row>
    <row r="503" spans="1:16" x14ac:dyDescent="0.25">
      <c r="A503" s="27">
        <v>45058</v>
      </c>
      <c r="B503" s="23">
        <v>49</v>
      </c>
      <c r="C503" s="23">
        <v>42</v>
      </c>
      <c r="D503" s="23">
        <v>41</v>
      </c>
      <c r="E503" s="23">
        <v>1</v>
      </c>
      <c r="F503" s="23">
        <v>7</v>
      </c>
      <c r="G503" s="23">
        <v>0</v>
      </c>
      <c r="H503" s="23">
        <v>2</v>
      </c>
      <c r="I503" s="23">
        <v>5</v>
      </c>
      <c r="J503" s="23">
        <v>3</v>
      </c>
      <c r="K503" s="23">
        <v>7</v>
      </c>
      <c r="L503" s="23">
        <v>7</v>
      </c>
      <c r="M503" s="23">
        <v>1</v>
      </c>
      <c r="N503" s="23">
        <v>5</v>
      </c>
      <c r="O503" s="23">
        <v>5</v>
      </c>
      <c r="P503" s="28">
        <v>6</v>
      </c>
    </row>
    <row r="504" spans="1:16" x14ac:dyDescent="0.25">
      <c r="A504" s="27">
        <v>45059</v>
      </c>
      <c r="B504" s="23">
        <v>32</v>
      </c>
      <c r="C504" s="23">
        <v>28</v>
      </c>
      <c r="D504" s="23">
        <v>27</v>
      </c>
      <c r="E504" s="23">
        <v>1</v>
      </c>
      <c r="F504" s="23">
        <v>3</v>
      </c>
      <c r="G504" s="23">
        <v>1</v>
      </c>
      <c r="H504" s="23">
        <v>2</v>
      </c>
      <c r="I504" s="23">
        <v>4</v>
      </c>
      <c r="J504" s="23">
        <v>5</v>
      </c>
      <c r="K504" s="23">
        <v>3</v>
      </c>
      <c r="L504" s="23">
        <v>2</v>
      </c>
      <c r="M504" s="23">
        <v>4</v>
      </c>
      <c r="N504" s="23">
        <v>1</v>
      </c>
      <c r="O504" s="23">
        <v>3</v>
      </c>
      <c r="P504" s="28">
        <v>3</v>
      </c>
    </row>
    <row r="505" spans="1:16" x14ac:dyDescent="0.25">
      <c r="A505" s="27">
        <v>45060</v>
      </c>
      <c r="B505" s="23">
        <v>30</v>
      </c>
      <c r="C505" s="23">
        <v>27</v>
      </c>
      <c r="D505" s="23">
        <v>26</v>
      </c>
      <c r="E505" s="23">
        <v>1</v>
      </c>
      <c r="F505" s="23">
        <v>2</v>
      </c>
      <c r="G505" s="23">
        <v>1</v>
      </c>
      <c r="H505" s="23">
        <v>1</v>
      </c>
      <c r="I505" s="23">
        <v>5</v>
      </c>
      <c r="J505" s="23">
        <v>2</v>
      </c>
      <c r="K505" s="23">
        <v>2</v>
      </c>
      <c r="L505" s="23">
        <v>1</v>
      </c>
      <c r="M505" s="23">
        <v>3</v>
      </c>
      <c r="N505" s="23">
        <v>2</v>
      </c>
      <c r="O505" s="23">
        <v>7</v>
      </c>
      <c r="P505" s="28">
        <v>3</v>
      </c>
    </row>
    <row r="506" spans="1:16" x14ac:dyDescent="0.25">
      <c r="A506" s="27">
        <v>45061</v>
      </c>
      <c r="B506" s="23">
        <v>32</v>
      </c>
      <c r="C506" s="23">
        <v>29</v>
      </c>
      <c r="D506" s="23">
        <v>27</v>
      </c>
      <c r="E506" s="23">
        <v>1</v>
      </c>
      <c r="F506" s="23">
        <v>3</v>
      </c>
      <c r="G506" s="23">
        <v>0</v>
      </c>
      <c r="H506" s="23">
        <v>0</v>
      </c>
      <c r="I506" s="23">
        <v>3</v>
      </c>
      <c r="J506" s="23">
        <v>2</v>
      </c>
      <c r="K506" s="23">
        <v>3</v>
      </c>
      <c r="L506" s="23">
        <v>4</v>
      </c>
      <c r="M506" s="23">
        <v>4</v>
      </c>
      <c r="N506" s="23">
        <v>3</v>
      </c>
      <c r="O506" s="23">
        <v>4</v>
      </c>
      <c r="P506" s="28">
        <v>4</v>
      </c>
    </row>
    <row r="507" spans="1:16" x14ac:dyDescent="0.25">
      <c r="A507" s="27">
        <v>45062</v>
      </c>
      <c r="B507" s="23">
        <v>50</v>
      </c>
      <c r="C507" s="23">
        <v>43</v>
      </c>
      <c r="D507" s="23">
        <v>43</v>
      </c>
      <c r="E507" s="23">
        <v>0</v>
      </c>
      <c r="F507" s="23">
        <v>4</v>
      </c>
      <c r="G507" s="23">
        <v>3</v>
      </c>
      <c r="H507" s="23">
        <v>4</v>
      </c>
      <c r="I507" s="23">
        <v>9</v>
      </c>
      <c r="J507" s="23">
        <v>5</v>
      </c>
      <c r="K507" s="23">
        <v>6</v>
      </c>
      <c r="L507" s="23">
        <v>5</v>
      </c>
      <c r="M507" s="23">
        <v>5</v>
      </c>
      <c r="N507" s="23">
        <v>1</v>
      </c>
      <c r="O507" s="23">
        <v>5</v>
      </c>
      <c r="P507" s="28">
        <v>3</v>
      </c>
    </row>
    <row r="508" spans="1:16" x14ac:dyDescent="0.25">
      <c r="A508" s="27">
        <v>45063</v>
      </c>
      <c r="B508" s="23">
        <v>49</v>
      </c>
      <c r="C508" s="23">
        <v>46</v>
      </c>
      <c r="D508" s="23">
        <v>45</v>
      </c>
      <c r="E508" s="23">
        <v>1</v>
      </c>
      <c r="F508" s="23">
        <v>3</v>
      </c>
      <c r="G508" s="23">
        <v>0</v>
      </c>
      <c r="H508" s="23">
        <v>3</v>
      </c>
      <c r="I508" s="23">
        <v>5</v>
      </c>
      <c r="J508" s="23">
        <v>3</v>
      </c>
      <c r="K508" s="23">
        <v>4</v>
      </c>
      <c r="L508" s="23">
        <v>9</v>
      </c>
      <c r="M508" s="23">
        <v>6</v>
      </c>
      <c r="N508" s="23">
        <v>4</v>
      </c>
      <c r="O508" s="23">
        <v>4</v>
      </c>
      <c r="P508" s="28">
        <v>7</v>
      </c>
    </row>
    <row r="509" spans="1:16" x14ac:dyDescent="0.25">
      <c r="A509" s="27">
        <v>45064</v>
      </c>
      <c r="B509" s="23">
        <v>37</v>
      </c>
      <c r="C509" s="23">
        <v>34</v>
      </c>
      <c r="D509" s="23">
        <v>32</v>
      </c>
      <c r="E509" s="23">
        <v>2</v>
      </c>
      <c r="F509" s="23">
        <v>1</v>
      </c>
      <c r="G509" s="23">
        <v>2</v>
      </c>
      <c r="H509" s="23">
        <v>2</v>
      </c>
      <c r="I509" s="23">
        <v>8</v>
      </c>
      <c r="J509" s="23">
        <v>2</v>
      </c>
      <c r="K509" s="23">
        <v>1</v>
      </c>
      <c r="L509" s="23">
        <v>5</v>
      </c>
      <c r="M509" s="23">
        <v>6</v>
      </c>
      <c r="N509" s="23">
        <v>2</v>
      </c>
      <c r="O509" s="23">
        <v>4</v>
      </c>
      <c r="P509" s="28">
        <v>2</v>
      </c>
    </row>
    <row r="510" spans="1:16" x14ac:dyDescent="0.25">
      <c r="A510" s="27">
        <v>45065</v>
      </c>
      <c r="B510" s="23">
        <v>45</v>
      </c>
      <c r="C510" s="23">
        <v>43</v>
      </c>
      <c r="D510" s="23">
        <v>41</v>
      </c>
      <c r="E510" s="23">
        <v>2</v>
      </c>
      <c r="F510" s="23">
        <v>2</v>
      </c>
      <c r="G510" s="23">
        <v>0</v>
      </c>
      <c r="H510" s="23">
        <v>1</v>
      </c>
      <c r="I510" s="23">
        <v>2</v>
      </c>
      <c r="J510" s="23">
        <v>3</v>
      </c>
      <c r="K510" s="23">
        <v>6</v>
      </c>
      <c r="L510" s="23">
        <v>4</v>
      </c>
      <c r="M510" s="23">
        <v>6</v>
      </c>
      <c r="N510" s="23">
        <v>7</v>
      </c>
      <c r="O510" s="23">
        <v>6</v>
      </c>
      <c r="P510" s="28">
        <v>6</v>
      </c>
    </row>
    <row r="511" spans="1:16" x14ac:dyDescent="0.25">
      <c r="A511" s="27">
        <v>45066</v>
      </c>
      <c r="B511" s="23">
        <v>30</v>
      </c>
      <c r="C511" s="23">
        <v>26</v>
      </c>
      <c r="D511" s="23">
        <v>25</v>
      </c>
      <c r="E511" s="23">
        <v>1</v>
      </c>
      <c r="F511" s="23">
        <v>3</v>
      </c>
      <c r="G511" s="23">
        <v>1</v>
      </c>
      <c r="H511" s="23">
        <v>2</v>
      </c>
      <c r="I511" s="23">
        <v>2</v>
      </c>
      <c r="J511" s="23">
        <v>2</v>
      </c>
      <c r="K511" s="23">
        <v>8</v>
      </c>
      <c r="L511" s="23">
        <v>2</v>
      </c>
      <c r="M511" s="23">
        <v>0</v>
      </c>
      <c r="N511" s="23">
        <v>5</v>
      </c>
      <c r="O511" s="23">
        <v>3</v>
      </c>
      <c r="P511" s="28">
        <v>1</v>
      </c>
    </row>
    <row r="512" spans="1:16" x14ac:dyDescent="0.25">
      <c r="A512" s="27">
        <v>45067</v>
      </c>
      <c r="B512" s="23">
        <v>34</v>
      </c>
      <c r="C512" s="23">
        <v>29</v>
      </c>
      <c r="D512" s="23">
        <v>24</v>
      </c>
      <c r="E512" s="23">
        <v>4</v>
      </c>
      <c r="F512" s="23">
        <v>5</v>
      </c>
      <c r="G512" s="23">
        <v>0</v>
      </c>
      <c r="H512" s="23">
        <v>0</v>
      </c>
      <c r="I512" s="23">
        <v>4</v>
      </c>
      <c r="J512" s="23">
        <v>2</v>
      </c>
      <c r="K512" s="23">
        <v>2</v>
      </c>
      <c r="L512" s="23">
        <v>3</v>
      </c>
      <c r="M512" s="23">
        <v>3</v>
      </c>
      <c r="N512" s="23">
        <v>3</v>
      </c>
      <c r="O512" s="23">
        <v>4</v>
      </c>
      <c r="P512" s="28">
        <v>3</v>
      </c>
    </row>
    <row r="513" spans="1:16" x14ac:dyDescent="0.25">
      <c r="A513" s="27">
        <v>45068</v>
      </c>
      <c r="B513" s="23">
        <v>39</v>
      </c>
      <c r="C513" s="23">
        <v>38</v>
      </c>
      <c r="D513" s="23">
        <v>35</v>
      </c>
      <c r="E513" s="23">
        <v>3</v>
      </c>
      <c r="F513" s="23">
        <v>1</v>
      </c>
      <c r="G513" s="23">
        <v>0</v>
      </c>
      <c r="H513" s="23">
        <v>3</v>
      </c>
      <c r="I513" s="23">
        <v>5</v>
      </c>
      <c r="J513" s="23">
        <v>2</v>
      </c>
      <c r="K513" s="23">
        <v>3</v>
      </c>
      <c r="L513" s="23">
        <v>5</v>
      </c>
      <c r="M513" s="23">
        <v>7</v>
      </c>
      <c r="N513" s="23">
        <v>5</v>
      </c>
      <c r="O513" s="23">
        <v>2</v>
      </c>
      <c r="P513" s="28">
        <v>3</v>
      </c>
    </row>
    <row r="514" spans="1:16" x14ac:dyDescent="0.25">
      <c r="A514" s="27">
        <v>45069</v>
      </c>
      <c r="B514" s="23">
        <v>31</v>
      </c>
      <c r="C514" s="23">
        <v>31</v>
      </c>
      <c r="D514" s="23">
        <v>30</v>
      </c>
      <c r="E514" s="23">
        <v>1</v>
      </c>
      <c r="F514" s="23">
        <v>0</v>
      </c>
      <c r="G514" s="23">
        <v>0</v>
      </c>
      <c r="H514" s="23">
        <v>2</v>
      </c>
      <c r="I514" s="23">
        <v>5</v>
      </c>
      <c r="J514" s="23">
        <v>3</v>
      </c>
      <c r="K514" s="23">
        <v>6</v>
      </c>
      <c r="L514" s="23">
        <v>1</v>
      </c>
      <c r="M514" s="23">
        <v>4</v>
      </c>
      <c r="N514" s="23">
        <v>4</v>
      </c>
      <c r="O514" s="23">
        <v>2</v>
      </c>
      <c r="P514" s="28">
        <v>3</v>
      </c>
    </row>
    <row r="515" spans="1:16" x14ac:dyDescent="0.25">
      <c r="A515" s="27">
        <v>45070</v>
      </c>
      <c r="B515" s="23">
        <v>34</v>
      </c>
      <c r="C515" s="23">
        <v>30</v>
      </c>
      <c r="D515" s="23">
        <v>30</v>
      </c>
      <c r="E515" s="23">
        <v>0</v>
      </c>
      <c r="F515" s="23">
        <v>2</v>
      </c>
      <c r="G515" s="23">
        <v>2</v>
      </c>
      <c r="H515" s="23">
        <v>1</v>
      </c>
      <c r="I515" s="23">
        <v>8</v>
      </c>
      <c r="J515" s="23">
        <v>8</v>
      </c>
      <c r="K515" s="23">
        <v>0</v>
      </c>
      <c r="L515" s="23">
        <v>4</v>
      </c>
      <c r="M515" s="23">
        <v>3</v>
      </c>
      <c r="N515" s="23">
        <v>0</v>
      </c>
      <c r="O515" s="23">
        <v>4</v>
      </c>
      <c r="P515" s="28">
        <v>2</v>
      </c>
    </row>
    <row r="516" spans="1:16" x14ac:dyDescent="0.25">
      <c r="A516" s="27">
        <v>45071</v>
      </c>
      <c r="B516" s="23">
        <v>25</v>
      </c>
      <c r="C516" s="23">
        <v>23</v>
      </c>
      <c r="D516" s="23">
        <v>21</v>
      </c>
      <c r="E516" s="23">
        <v>2</v>
      </c>
      <c r="F516" s="23">
        <v>2</v>
      </c>
      <c r="G516" s="23">
        <v>0</v>
      </c>
      <c r="H516" s="23">
        <v>1</v>
      </c>
      <c r="I516" s="23">
        <v>3</v>
      </c>
      <c r="J516" s="23">
        <v>1</v>
      </c>
      <c r="K516" s="23">
        <v>4</v>
      </c>
      <c r="L516" s="23">
        <v>3</v>
      </c>
      <c r="M516" s="23">
        <v>1</v>
      </c>
      <c r="N516" s="23">
        <v>3</v>
      </c>
      <c r="O516" s="23">
        <v>0</v>
      </c>
      <c r="P516" s="28">
        <v>5</v>
      </c>
    </row>
    <row r="517" spans="1:16" x14ac:dyDescent="0.25">
      <c r="A517" s="27">
        <v>45072</v>
      </c>
      <c r="B517" s="23">
        <v>44</v>
      </c>
      <c r="C517" s="23">
        <v>36</v>
      </c>
      <c r="D517" s="23">
        <v>33</v>
      </c>
      <c r="E517" s="23">
        <v>3</v>
      </c>
      <c r="F517" s="23">
        <v>3</v>
      </c>
      <c r="G517" s="23">
        <v>5</v>
      </c>
      <c r="H517" s="23">
        <v>3</v>
      </c>
      <c r="I517" s="23">
        <v>3</v>
      </c>
      <c r="J517" s="23">
        <v>5</v>
      </c>
      <c r="K517" s="23">
        <v>4</v>
      </c>
      <c r="L517" s="23">
        <v>2</v>
      </c>
      <c r="M517" s="23">
        <v>3</v>
      </c>
      <c r="N517" s="23">
        <v>7</v>
      </c>
      <c r="O517" s="23">
        <v>6</v>
      </c>
      <c r="P517" s="28">
        <v>0</v>
      </c>
    </row>
    <row r="518" spans="1:16" x14ac:dyDescent="0.25">
      <c r="A518" s="27">
        <v>45073</v>
      </c>
      <c r="B518" s="23">
        <v>37</v>
      </c>
      <c r="C518" s="23">
        <v>35</v>
      </c>
      <c r="D518" s="23">
        <v>31</v>
      </c>
      <c r="E518" s="23">
        <v>4</v>
      </c>
      <c r="F518" s="23">
        <v>1</v>
      </c>
      <c r="G518" s="23">
        <v>1</v>
      </c>
      <c r="H518" s="23">
        <v>1</v>
      </c>
      <c r="I518" s="23">
        <v>4</v>
      </c>
      <c r="J518" s="23">
        <v>4</v>
      </c>
      <c r="K518" s="23">
        <v>4</v>
      </c>
      <c r="L518" s="23">
        <v>4</v>
      </c>
      <c r="M518" s="23">
        <v>7</v>
      </c>
      <c r="N518" s="23">
        <v>1</v>
      </c>
      <c r="O518" s="23">
        <v>5</v>
      </c>
      <c r="P518" s="28">
        <v>1</v>
      </c>
    </row>
    <row r="519" spans="1:16" x14ac:dyDescent="0.25">
      <c r="A519" s="27">
        <v>45074</v>
      </c>
      <c r="B519" s="23">
        <v>24</v>
      </c>
      <c r="C519" s="23">
        <v>21</v>
      </c>
      <c r="D519" s="23">
        <v>20</v>
      </c>
      <c r="E519" s="23">
        <v>1</v>
      </c>
      <c r="F519" s="23">
        <v>3</v>
      </c>
      <c r="G519" s="23">
        <v>0</v>
      </c>
      <c r="H519" s="23">
        <v>2</v>
      </c>
      <c r="I519" s="23">
        <v>3</v>
      </c>
      <c r="J519" s="23">
        <v>0</v>
      </c>
      <c r="K519" s="23">
        <v>5</v>
      </c>
      <c r="L519" s="23">
        <v>0</v>
      </c>
      <c r="M519" s="23">
        <v>0</v>
      </c>
      <c r="N519" s="23">
        <v>2</v>
      </c>
      <c r="O519" s="23">
        <v>6</v>
      </c>
      <c r="P519" s="28">
        <v>2</v>
      </c>
    </row>
    <row r="520" spans="1:16" x14ac:dyDescent="0.25">
      <c r="A520" s="27">
        <v>45075</v>
      </c>
      <c r="B520" s="23">
        <v>24</v>
      </c>
      <c r="C520" s="23">
        <v>22</v>
      </c>
      <c r="D520" s="23">
        <v>21</v>
      </c>
      <c r="E520" s="23">
        <v>1</v>
      </c>
      <c r="F520" s="23">
        <v>2</v>
      </c>
      <c r="G520" s="23">
        <v>0</v>
      </c>
      <c r="H520" s="23">
        <v>0</v>
      </c>
      <c r="I520" s="23">
        <v>2</v>
      </c>
      <c r="J520" s="23">
        <v>0</v>
      </c>
      <c r="K520" s="23">
        <v>4</v>
      </c>
      <c r="L520" s="23">
        <v>5</v>
      </c>
      <c r="M520" s="23">
        <v>1</v>
      </c>
      <c r="N520" s="23">
        <v>3</v>
      </c>
      <c r="O520" s="23">
        <v>4</v>
      </c>
      <c r="P520" s="28">
        <v>2</v>
      </c>
    </row>
    <row r="521" spans="1:16" x14ac:dyDescent="0.25">
      <c r="A521" s="27">
        <v>45076</v>
      </c>
      <c r="B521" s="23">
        <v>34</v>
      </c>
      <c r="C521" s="23">
        <v>31</v>
      </c>
      <c r="D521" s="23">
        <v>29</v>
      </c>
      <c r="E521" s="23">
        <v>2</v>
      </c>
      <c r="F521" s="23">
        <v>3</v>
      </c>
      <c r="G521" s="23">
        <v>0</v>
      </c>
      <c r="H521" s="23">
        <v>1</v>
      </c>
      <c r="I521" s="23">
        <v>3</v>
      </c>
      <c r="J521" s="23">
        <v>4</v>
      </c>
      <c r="K521" s="23">
        <v>3</v>
      </c>
      <c r="L521" s="23">
        <v>2</v>
      </c>
      <c r="M521" s="23">
        <v>1</v>
      </c>
      <c r="N521" s="23">
        <v>2</v>
      </c>
      <c r="O521" s="23">
        <v>7</v>
      </c>
      <c r="P521" s="28">
        <v>6</v>
      </c>
    </row>
    <row r="522" spans="1:16" x14ac:dyDescent="0.25">
      <c r="A522" s="27">
        <v>45077</v>
      </c>
      <c r="B522" s="23">
        <v>22</v>
      </c>
      <c r="C522" s="23">
        <v>20</v>
      </c>
      <c r="D522" s="23">
        <v>20</v>
      </c>
      <c r="E522" s="23">
        <v>0</v>
      </c>
      <c r="F522" s="23">
        <v>1</v>
      </c>
      <c r="G522" s="23">
        <v>1</v>
      </c>
      <c r="H522" s="23">
        <v>1</v>
      </c>
      <c r="I522" s="23">
        <v>1</v>
      </c>
      <c r="J522" s="23">
        <v>4</v>
      </c>
      <c r="K522" s="23">
        <v>1</v>
      </c>
      <c r="L522" s="23">
        <v>3</v>
      </c>
      <c r="M522" s="23">
        <v>0</v>
      </c>
      <c r="N522" s="23">
        <v>3</v>
      </c>
      <c r="O522" s="23">
        <v>6</v>
      </c>
      <c r="P522" s="28">
        <v>1</v>
      </c>
    </row>
    <row r="523" spans="1:16" x14ac:dyDescent="0.25">
      <c r="A523" s="27">
        <v>45078</v>
      </c>
      <c r="B523" s="23">
        <v>31</v>
      </c>
      <c r="C523" s="23">
        <v>28</v>
      </c>
      <c r="D523" s="23">
        <v>27</v>
      </c>
      <c r="E523" s="23">
        <v>1</v>
      </c>
      <c r="F523" s="23">
        <v>3</v>
      </c>
      <c r="G523" s="23">
        <v>0</v>
      </c>
      <c r="H523" s="23">
        <v>2</v>
      </c>
      <c r="I523" s="23">
        <v>4</v>
      </c>
      <c r="J523" s="23">
        <v>2</v>
      </c>
      <c r="K523" s="23">
        <v>1</v>
      </c>
      <c r="L523" s="23">
        <v>3</v>
      </c>
      <c r="M523" s="23">
        <v>5</v>
      </c>
      <c r="N523" s="23">
        <v>2</v>
      </c>
      <c r="O523" s="23">
        <v>4</v>
      </c>
      <c r="P523" s="28">
        <v>4</v>
      </c>
    </row>
    <row r="524" spans="1:16" x14ac:dyDescent="0.25">
      <c r="A524" s="27">
        <v>45079</v>
      </c>
      <c r="B524" s="23">
        <v>24</v>
      </c>
      <c r="C524" s="23">
        <v>22</v>
      </c>
      <c r="D524" s="23">
        <v>20</v>
      </c>
      <c r="E524" s="23">
        <v>2</v>
      </c>
      <c r="F524" s="23">
        <v>1</v>
      </c>
      <c r="G524" s="23">
        <v>1</v>
      </c>
      <c r="H524" s="23">
        <v>0</v>
      </c>
      <c r="I524" s="23">
        <v>2</v>
      </c>
      <c r="J524" s="23">
        <v>3</v>
      </c>
      <c r="K524" s="23">
        <v>5</v>
      </c>
      <c r="L524" s="23">
        <v>3</v>
      </c>
      <c r="M524" s="23">
        <v>1</v>
      </c>
      <c r="N524" s="23">
        <v>5</v>
      </c>
      <c r="O524" s="23">
        <v>1</v>
      </c>
      <c r="P524" s="28">
        <v>0</v>
      </c>
    </row>
    <row r="525" spans="1:16" x14ac:dyDescent="0.25">
      <c r="A525" s="27">
        <v>45080</v>
      </c>
      <c r="B525" s="23">
        <v>32</v>
      </c>
      <c r="C525" s="23">
        <v>30</v>
      </c>
      <c r="D525" s="23">
        <v>30</v>
      </c>
      <c r="E525" s="23">
        <v>0</v>
      </c>
      <c r="F525" s="23">
        <v>2</v>
      </c>
      <c r="G525" s="23">
        <v>0</v>
      </c>
      <c r="H525" s="23">
        <v>0</v>
      </c>
      <c r="I525" s="23">
        <v>3</v>
      </c>
      <c r="J525" s="23">
        <v>4</v>
      </c>
      <c r="K525" s="23">
        <v>3</v>
      </c>
      <c r="L525" s="23">
        <v>7</v>
      </c>
      <c r="M525" s="23">
        <v>3</v>
      </c>
      <c r="N525" s="23">
        <v>5</v>
      </c>
      <c r="O525" s="23">
        <v>4</v>
      </c>
      <c r="P525" s="28">
        <v>1</v>
      </c>
    </row>
    <row r="526" spans="1:16" x14ac:dyDescent="0.25">
      <c r="A526" s="27">
        <v>45081</v>
      </c>
      <c r="B526" s="23">
        <v>26</v>
      </c>
      <c r="C526" s="23">
        <v>25</v>
      </c>
      <c r="D526" s="23">
        <v>23</v>
      </c>
      <c r="E526" s="23">
        <v>2</v>
      </c>
      <c r="F526" s="23">
        <v>1</v>
      </c>
      <c r="G526" s="23">
        <v>0</v>
      </c>
      <c r="H526" s="23">
        <v>1</v>
      </c>
      <c r="I526" s="23">
        <v>1</v>
      </c>
      <c r="J526" s="23">
        <v>1</v>
      </c>
      <c r="K526" s="23">
        <v>4</v>
      </c>
      <c r="L526" s="23">
        <v>2</v>
      </c>
      <c r="M526" s="23">
        <v>1</v>
      </c>
      <c r="N526" s="23">
        <v>2</v>
      </c>
      <c r="O526" s="23">
        <v>7</v>
      </c>
      <c r="P526" s="28">
        <v>4</v>
      </c>
    </row>
    <row r="527" spans="1:16" x14ac:dyDescent="0.25">
      <c r="A527" s="27">
        <v>45082</v>
      </c>
      <c r="B527" s="23">
        <v>21</v>
      </c>
      <c r="C527" s="23">
        <v>18</v>
      </c>
      <c r="D527" s="23">
        <v>16</v>
      </c>
      <c r="E527" s="23">
        <v>2</v>
      </c>
      <c r="F527" s="23">
        <v>2</v>
      </c>
      <c r="G527" s="23">
        <v>1</v>
      </c>
      <c r="H527" s="23">
        <v>1</v>
      </c>
      <c r="I527" s="23">
        <v>2</v>
      </c>
      <c r="J527" s="23">
        <v>1</v>
      </c>
      <c r="K527" s="23">
        <v>2</v>
      </c>
      <c r="L527" s="23">
        <v>3</v>
      </c>
      <c r="M527" s="23">
        <v>2</v>
      </c>
      <c r="N527" s="23">
        <v>1</v>
      </c>
      <c r="O527" s="23">
        <v>2</v>
      </c>
      <c r="P527" s="28">
        <v>2</v>
      </c>
    </row>
    <row r="528" spans="1:16" x14ac:dyDescent="0.25">
      <c r="A528" s="27">
        <v>45083</v>
      </c>
      <c r="B528" s="23">
        <v>23</v>
      </c>
      <c r="C528" s="23">
        <v>20</v>
      </c>
      <c r="D528" s="23">
        <v>20</v>
      </c>
      <c r="E528" s="23">
        <v>0</v>
      </c>
      <c r="F528" s="23">
        <v>3</v>
      </c>
      <c r="G528" s="23">
        <v>0</v>
      </c>
      <c r="H528" s="23">
        <v>2</v>
      </c>
      <c r="I528" s="23">
        <v>5</v>
      </c>
      <c r="J528" s="23">
        <v>1</v>
      </c>
      <c r="K528" s="23">
        <v>2</v>
      </c>
      <c r="L528" s="23">
        <v>1</v>
      </c>
      <c r="M528" s="23">
        <v>2</v>
      </c>
      <c r="N528" s="23">
        <v>4</v>
      </c>
      <c r="O528" s="23">
        <v>3</v>
      </c>
      <c r="P528" s="28">
        <v>0</v>
      </c>
    </row>
    <row r="529" spans="1:16" x14ac:dyDescent="0.25">
      <c r="A529" s="27">
        <v>45084</v>
      </c>
      <c r="B529" s="23">
        <v>24</v>
      </c>
      <c r="C529" s="23">
        <v>20</v>
      </c>
      <c r="D529" s="23">
        <v>19</v>
      </c>
      <c r="E529" s="23">
        <v>1</v>
      </c>
      <c r="F529" s="23">
        <v>3</v>
      </c>
      <c r="G529" s="23">
        <v>1</v>
      </c>
      <c r="H529" s="23">
        <v>2</v>
      </c>
      <c r="I529" s="23">
        <v>6</v>
      </c>
      <c r="J529" s="23">
        <v>2</v>
      </c>
      <c r="K529" s="23">
        <v>3</v>
      </c>
      <c r="L529" s="23">
        <v>0</v>
      </c>
      <c r="M529" s="23">
        <v>2</v>
      </c>
      <c r="N529" s="23">
        <v>2</v>
      </c>
      <c r="O529" s="23">
        <v>2</v>
      </c>
      <c r="P529" s="28">
        <v>0</v>
      </c>
    </row>
    <row r="530" spans="1:16" x14ac:dyDescent="0.25">
      <c r="A530" s="27">
        <v>45085</v>
      </c>
      <c r="B530" s="23">
        <v>24</v>
      </c>
      <c r="C530" s="23">
        <v>24</v>
      </c>
      <c r="D530" s="23">
        <v>22</v>
      </c>
      <c r="E530" s="23">
        <v>2</v>
      </c>
      <c r="F530" s="23">
        <v>0</v>
      </c>
      <c r="G530" s="23">
        <v>0</v>
      </c>
      <c r="H530" s="23">
        <v>2</v>
      </c>
      <c r="I530" s="23">
        <v>3</v>
      </c>
      <c r="J530" s="23">
        <v>3</v>
      </c>
      <c r="K530" s="23">
        <v>0</v>
      </c>
      <c r="L530" s="23">
        <v>3</v>
      </c>
      <c r="M530" s="23">
        <v>4</v>
      </c>
      <c r="N530" s="23">
        <v>2</v>
      </c>
      <c r="O530" s="23">
        <v>3</v>
      </c>
      <c r="P530" s="28">
        <v>2</v>
      </c>
    </row>
    <row r="531" spans="1:16" x14ac:dyDescent="0.25">
      <c r="A531" s="27">
        <v>45086</v>
      </c>
      <c r="B531" s="23">
        <v>18</v>
      </c>
      <c r="C531" s="23">
        <v>18</v>
      </c>
      <c r="D531" s="23">
        <v>18</v>
      </c>
      <c r="E531" s="23">
        <v>0</v>
      </c>
      <c r="F531" s="23">
        <v>0</v>
      </c>
      <c r="G531" s="23">
        <v>0</v>
      </c>
      <c r="H531" s="23">
        <v>0</v>
      </c>
      <c r="I531" s="23">
        <v>3</v>
      </c>
      <c r="J531" s="23">
        <v>0</v>
      </c>
      <c r="K531" s="23">
        <v>2</v>
      </c>
      <c r="L531" s="23">
        <v>1</v>
      </c>
      <c r="M531" s="23">
        <v>5</v>
      </c>
      <c r="N531" s="23">
        <v>1</v>
      </c>
      <c r="O531" s="23">
        <v>5</v>
      </c>
      <c r="P531" s="28">
        <v>1</v>
      </c>
    </row>
    <row r="532" spans="1:16" x14ac:dyDescent="0.25">
      <c r="A532" s="27">
        <v>45087</v>
      </c>
      <c r="B532" s="23">
        <v>22</v>
      </c>
      <c r="C532" s="23">
        <v>20</v>
      </c>
      <c r="D532" s="23">
        <v>19</v>
      </c>
      <c r="E532" s="23">
        <v>1</v>
      </c>
      <c r="F532" s="23">
        <v>2</v>
      </c>
      <c r="G532" s="23">
        <v>0</v>
      </c>
      <c r="H532" s="23">
        <v>1</v>
      </c>
      <c r="I532" s="23">
        <v>0</v>
      </c>
      <c r="J532" s="23">
        <v>4</v>
      </c>
      <c r="K532" s="23">
        <v>3</v>
      </c>
      <c r="L532" s="23">
        <v>2</v>
      </c>
      <c r="M532" s="23">
        <v>4</v>
      </c>
      <c r="N532" s="23">
        <v>0</v>
      </c>
      <c r="O532" s="23">
        <v>3</v>
      </c>
      <c r="P532" s="28">
        <v>2</v>
      </c>
    </row>
    <row r="533" spans="1:16" x14ac:dyDescent="0.25">
      <c r="A533" s="27">
        <v>45088</v>
      </c>
      <c r="B533" s="23">
        <v>30</v>
      </c>
      <c r="C533" s="23">
        <v>27</v>
      </c>
      <c r="D533" s="23">
        <v>25</v>
      </c>
      <c r="E533" s="23">
        <v>1</v>
      </c>
      <c r="F533" s="23">
        <v>2</v>
      </c>
      <c r="G533" s="23">
        <v>1</v>
      </c>
      <c r="H533" s="23">
        <v>2</v>
      </c>
      <c r="I533" s="23">
        <v>6</v>
      </c>
      <c r="J533" s="23">
        <v>1</v>
      </c>
      <c r="K533" s="23">
        <v>1</v>
      </c>
      <c r="L533" s="23">
        <v>2</v>
      </c>
      <c r="M533" s="23">
        <v>3</v>
      </c>
      <c r="N533" s="23">
        <v>3</v>
      </c>
      <c r="O533" s="23">
        <v>4</v>
      </c>
      <c r="P533" s="28">
        <v>3</v>
      </c>
    </row>
    <row r="534" spans="1:16" x14ac:dyDescent="0.25">
      <c r="A534" s="27">
        <v>45089</v>
      </c>
      <c r="B534" s="23">
        <v>31</v>
      </c>
      <c r="C534" s="23">
        <v>28</v>
      </c>
      <c r="D534" s="23">
        <v>25</v>
      </c>
      <c r="E534" s="23">
        <v>3</v>
      </c>
      <c r="F534" s="23">
        <v>3</v>
      </c>
      <c r="G534" s="23">
        <v>0</v>
      </c>
      <c r="H534" s="23">
        <v>1</v>
      </c>
      <c r="I534" s="23">
        <v>2</v>
      </c>
      <c r="J534" s="23">
        <v>5</v>
      </c>
      <c r="K534" s="23">
        <v>4</v>
      </c>
      <c r="L534" s="23">
        <v>2</v>
      </c>
      <c r="M534" s="23">
        <v>5</v>
      </c>
      <c r="N534" s="23">
        <v>3</v>
      </c>
      <c r="O534" s="23">
        <v>3</v>
      </c>
      <c r="P534" s="28">
        <v>0</v>
      </c>
    </row>
    <row r="535" spans="1:16" x14ac:dyDescent="0.25">
      <c r="A535" s="27">
        <v>45090</v>
      </c>
      <c r="B535" s="23">
        <v>27</v>
      </c>
      <c r="C535" s="23">
        <v>21</v>
      </c>
      <c r="D535" s="23">
        <v>21</v>
      </c>
      <c r="E535" s="23">
        <v>0</v>
      </c>
      <c r="F535" s="23">
        <v>3</v>
      </c>
      <c r="G535" s="23">
        <v>3</v>
      </c>
      <c r="H535" s="23">
        <v>1</v>
      </c>
      <c r="I535" s="23">
        <v>4</v>
      </c>
      <c r="J535" s="23">
        <v>3</v>
      </c>
      <c r="K535" s="23">
        <v>2</v>
      </c>
      <c r="L535" s="23">
        <v>0</v>
      </c>
      <c r="M535" s="23">
        <v>6</v>
      </c>
      <c r="N535" s="23">
        <v>1</v>
      </c>
      <c r="O535" s="23">
        <v>4</v>
      </c>
      <c r="P535" s="28">
        <v>0</v>
      </c>
    </row>
    <row r="536" spans="1:16" x14ac:dyDescent="0.25">
      <c r="A536" s="27">
        <v>45091</v>
      </c>
      <c r="B536" s="23">
        <v>30</v>
      </c>
      <c r="C536" s="23">
        <v>26</v>
      </c>
      <c r="D536" s="23">
        <v>22</v>
      </c>
      <c r="E536" s="23">
        <v>4</v>
      </c>
      <c r="F536" s="23">
        <v>4</v>
      </c>
      <c r="G536" s="23">
        <v>0</v>
      </c>
      <c r="H536" s="23">
        <v>1</v>
      </c>
      <c r="I536" s="23">
        <v>4</v>
      </c>
      <c r="J536" s="23">
        <v>1</v>
      </c>
      <c r="K536" s="23">
        <v>2</v>
      </c>
      <c r="L536" s="23">
        <v>2</v>
      </c>
      <c r="M536" s="23">
        <v>2</v>
      </c>
      <c r="N536" s="23">
        <v>1</v>
      </c>
      <c r="O536" s="23">
        <v>8</v>
      </c>
      <c r="P536" s="28">
        <v>1</v>
      </c>
    </row>
    <row r="537" spans="1:16" x14ac:dyDescent="0.25">
      <c r="A537" s="27">
        <v>45092</v>
      </c>
      <c r="B537" s="23">
        <v>23</v>
      </c>
      <c r="C537" s="23">
        <v>20</v>
      </c>
      <c r="D537" s="23">
        <v>19</v>
      </c>
      <c r="E537" s="23">
        <v>1</v>
      </c>
      <c r="F537" s="23">
        <v>3</v>
      </c>
      <c r="G537" s="23">
        <v>0</v>
      </c>
      <c r="H537" s="23">
        <v>1</v>
      </c>
      <c r="I537" s="23">
        <v>2</v>
      </c>
      <c r="J537" s="23">
        <v>2</v>
      </c>
      <c r="K537" s="23">
        <v>1</v>
      </c>
      <c r="L537" s="23">
        <v>2</v>
      </c>
      <c r="M537" s="23">
        <v>0</v>
      </c>
      <c r="N537" s="23">
        <v>1</v>
      </c>
      <c r="O537" s="23">
        <v>7</v>
      </c>
      <c r="P537" s="28">
        <v>3</v>
      </c>
    </row>
    <row r="538" spans="1:16" x14ac:dyDescent="0.25">
      <c r="A538" s="27">
        <v>45093</v>
      </c>
      <c r="B538" s="23">
        <v>24</v>
      </c>
      <c r="C538" s="23">
        <v>20</v>
      </c>
      <c r="D538" s="23">
        <v>19</v>
      </c>
      <c r="E538" s="23">
        <v>1</v>
      </c>
      <c r="F538" s="23">
        <v>1</v>
      </c>
      <c r="G538" s="23">
        <v>3</v>
      </c>
      <c r="H538" s="23">
        <v>1</v>
      </c>
      <c r="I538" s="23">
        <v>0</v>
      </c>
      <c r="J538" s="23">
        <v>1</v>
      </c>
      <c r="K538" s="23">
        <v>1</v>
      </c>
      <c r="L538" s="23">
        <v>3</v>
      </c>
      <c r="M538" s="23">
        <v>3</v>
      </c>
      <c r="N538" s="23">
        <v>3</v>
      </c>
      <c r="O538" s="23">
        <v>6</v>
      </c>
      <c r="P538" s="28">
        <v>1</v>
      </c>
    </row>
    <row r="539" spans="1:16" x14ac:dyDescent="0.25">
      <c r="A539" s="27">
        <v>45094</v>
      </c>
      <c r="B539" s="23">
        <v>14</v>
      </c>
      <c r="C539" s="23">
        <v>14</v>
      </c>
      <c r="D539" s="23">
        <v>13</v>
      </c>
      <c r="E539" s="23">
        <v>1</v>
      </c>
      <c r="F539" s="23">
        <v>0</v>
      </c>
      <c r="G539" s="23">
        <v>0</v>
      </c>
      <c r="H539" s="23">
        <v>0</v>
      </c>
      <c r="I539" s="23">
        <v>1</v>
      </c>
      <c r="J539" s="23">
        <v>2</v>
      </c>
      <c r="K539" s="23">
        <v>3</v>
      </c>
      <c r="L539" s="23">
        <v>0</v>
      </c>
      <c r="M539" s="23">
        <v>2</v>
      </c>
      <c r="N539" s="23">
        <v>2</v>
      </c>
      <c r="O539" s="23">
        <v>1</v>
      </c>
      <c r="P539" s="28">
        <v>2</v>
      </c>
    </row>
    <row r="540" spans="1:16" x14ac:dyDescent="0.25">
      <c r="A540" s="27">
        <v>45095</v>
      </c>
      <c r="B540" s="23">
        <v>18</v>
      </c>
      <c r="C540" s="23">
        <v>15</v>
      </c>
      <c r="D540" s="23">
        <v>14</v>
      </c>
      <c r="E540" s="23">
        <v>1</v>
      </c>
      <c r="F540" s="23">
        <v>3</v>
      </c>
      <c r="G540" s="23">
        <v>0</v>
      </c>
      <c r="H540" s="23">
        <v>0</v>
      </c>
      <c r="I540" s="23">
        <v>0</v>
      </c>
      <c r="J540" s="23">
        <v>4</v>
      </c>
      <c r="K540" s="23">
        <v>3</v>
      </c>
      <c r="L540" s="23">
        <v>2</v>
      </c>
      <c r="M540" s="23">
        <v>2</v>
      </c>
      <c r="N540" s="23">
        <v>0</v>
      </c>
      <c r="O540" s="23">
        <v>1</v>
      </c>
      <c r="P540" s="28">
        <v>2</v>
      </c>
    </row>
    <row r="541" spans="1:16" x14ac:dyDescent="0.25">
      <c r="A541" s="27">
        <v>45096</v>
      </c>
      <c r="B541" s="23">
        <v>21</v>
      </c>
      <c r="C541" s="23">
        <v>19</v>
      </c>
      <c r="D541" s="23">
        <v>16</v>
      </c>
      <c r="E541" s="23">
        <v>3</v>
      </c>
      <c r="F541" s="23">
        <v>1</v>
      </c>
      <c r="G541" s="23">
        <v>1</v>
      </c>
      <c r="H541" s="23">
        <v>0</v>
      </c>
      <c r="I541" s="23">
        <v>1</v>
      </c>
      <c r="J541" s="23">
        <v>0</v>
      </c>
      <c r="K541" s="23">
        <v>1</v>
      </c>
      <c r="L541" s="23">
        <v>1</v>
      </c>
      <c r="M541" s="23">
        <v>4</v>
      </c>
      <c r="N541" s="23">
        <v>3</v>
      </c>
      <c r="O541" s="23">
        <v>5</v>
      </c>
      <c r="P541" s="28">
        <v>1</v>
      </c>
    </row>
    <row r="542" spans="1:16" x14ac:dyDescent="0.25">
      <c r="A542" s="27">
        <v>45097</v>
      </c>
      <c r="B542" s="23">
        <v>19</v>
      </c>
      <c r="C542" s="23">
        <v>18</v>
      </c>
      <c r="D542" s="23">
        <v>17</v>
      </c>
      <c r="E542" s="23">
        <v>1</v>
      </c>
      <c r="F542" s="23">
        <v>1</v>
      </c>
      <c r="G542" s="23">
        <v>0</v>
      </c>
      <c r="H542" s="23">
        <v>0</v>
      </c>
      <c r="I542" s="23">
        <v>1</v>
      </c>
      <c r="J542" s="23">
        <v>2</v>
      </c>
      <c r="K542" s="23">
        <v>4</v>
      </c>
      <c r="L542" s="23">
        <v>0</v>
      </c>
      <c r="M542" s="23">
        <v>3</v>
      </c>
      <c r="N542" s="23">
        <v>2</v>
      </c>
      <c r="O542" s="23">
        <v>4</v>
      </c>
      <c r="P542" s="28">
        <v>1</v>
      </c>
    </row>
    <row r="543" spans="1:16" x14ac:dyDescent="0.25">
      <c r="A543" s="27">
        <v>45098</v>
      </c>
      <c r="B543" s="23">
        <v>17</v>
      </c>
      <c r="C543" s="23">
        <v>15</v>
      </c>
      <c r="D543" s="23">
        <v>14</v>
      </c>
      <c r="E543" s="23">
        <v>1</v>
      </c>
      <c r="F543" s="23">
        <v>1</v>
      </c>
      <c r="G543" s="23">
        <v>1</v>
      </c>
      <c r="H543" s="23">
        <v>0</v>
      </c>
      <c r="I543" s="23">
        <v>4</v>
      </c>
      <c r="J543" s="23">
        <v>1</v>
      </c>
      <c r="K543" s="23">
        <v>2</v>
      </c>
      <c r="L543" s="23">
        <v>2</v>
      </c>
      <c r="M543" s="23">
        <v>2</v>
      </c>
      <c r="N543" s="23">
        <v>0</v>
      </c>
      <c r="O543" s="23">
        <v>2</v>
      </c>
      <c r="P543" s="28">
        <v>1</v>
      </c>
    </row>
    <row r="544" spans="1:16" x14ac:dyDescent="0.25">
      <c r="A544" s="27">
        <v>45099</v>
      </c>
      <c r="B544" s="23">
        <v>9</v>
      </c>
      <c r="C544" s="23">
        <v>9</v>
      </c>
      <c r="D544" s="23">
        <v>9</v>
      </c>
      <c r="E544" s="23">
        <v>0</v>
      </c>
      <c r="F544" s="23">
        <v>0</v>
      </c>
      <c r="G544" s="23">
        <v>0</v>
      </c>
      <c r="H544" s="23">
        <v>1</v>
      </c>
      <c r="I544" s="23">
        <v>1</v>
      </c>
      <c r="J544" s="23">
        <v>1</v>
      </c>
      <c r="K544" s="23">
        <v>1</v>
      </c>
      <c r="L544" s="23">
        <v>1</v>
      </c>
      <c r="M544" s="23">
        <v>1</v>
      </c>
      <c r="N544" s="23">
        <v>1</v>
      </c>
      <c r="O544" s="23">
        <v>2</v>
      </c>
      <c r="P544" s="28">
        <v>0</v>
      </c>
    </row>
    <row r="545" spans="1:16" x14ac:dyDescent="0.25">
      <c r="A545" s="27">
        <v>45100</v>
      </c>
      <c r="B545" s="23">
        <v>15</v>
      </c>
      <c r="C545" s="23">
        <v>11</v>
      </c>
      <c r="D545" s="23">
        <v>11</v>
      </c>
      <c r="E545" s="23">
        <v>0</v>
      </c>
      <c r="F545" s="23">
        <v>3</v>
      </c>
      <c r="G545" s="23">
        <v>1</v>
      </c>
      <c r="H545" s="23">
        <v>0</v>
      </c>
      <c r="I545" s="23">
        <v>3</v>
      </c>
      <c r="J545" s="23">
        <v>0</v>
      </c>
      <c r="K545" s="23">
        <v>0</v>
      </c>
      <c r="L545" s="23">
        <v>2</v>
      </c>
      <c r="M545" s="23">
        <v>2</v>
      </c>
      <c r="N545" s="23">
        <v>0</v>
      </c>
      <c r="O545" s="23">
        <v>1</v>
      </c>
      <c r="P545" s="28">
        <v>3</v>
      </c>
    </row>
    <row r="546" spans="1:16" x14ac:dyDescent="0.25">
      <c r="A546" s="27">
        <v>45101</v>
      </c>
      <c r="B546" s="23">
        <v>13</v>
      </c>
      <c r="C546" s="23">
        <v>12</v>
      </c>
      <c r="D546" s="23">
        <v>11</v>
      </c>
      <c r="E546" s="23">
        <v>1</v>
      </c>
      <c r="F546" s="23">
        <v>0</v>
      </c>
      <c r="G546" s="23">
        <v>1</v>
      </c>
      <c r="H546" s="23">
        <v>0</v>
      </c>
      <c r="I546" s="23">
        <v>2</v>
      </c>
      <c r="J546" s="23">
        <v>3</v>
      </c>
      <c r="K546" s="23">
        <v>1</v>
      </c>
      <c r="L546" s="23">
        <v>0</v>
      </c>
      <c r="M546" s="23">
        <v>0</v>
      </c>
      <c r="N546" s="23">
        <v>1</v>
      </c>
      <c r="O546" s="23">
        <v>4</v>
      </c>
      <c r="P546" s="28">
        <v>0</v>
      </c>
    </row>
    <row r="547" spans="1:16" x14ac:dyDescent="0.25">
      <c r="A547" s="27">
        <v>45102</v>
      </c>
      <c r="B547" s="23">
        <v>21</v>
      </c>
      <c r="C547" s="23">
        <v>19</v>
      </c>
      <c r="D547" s="23">
        <v>19</v>
      </c>
      <c r="E547" s="23">
        <v>0</v>
      </c>
      <c r="F547" s="23">
        <v>2</v>
      </c>
      <c r="G547" s="23">
        <v>0</v>
      </c>
      <c r="H547" s="23">
        <v>1</v>
      </c>
      <c r="I547" s="23">
        <v>2</v>
      </c>
      <c r="J547" s="23">
        <v>4</v>
      </c>
      <c r="K547" s="23">
        <v>3</v>
      </c>
      <c r="L547" s="23">
        <v>1</v>
      </c>
      <c r="M547" s="23">
        <v>2</v>
      </c>
      <c r="N547" s="23">
        <v>3</v>
      </c>
      <c r="O547" s="23">
        <v>2</v>
      </c>
      <c r="P547" s="28">
        <v>1</v>
      </c>
    </row>
    <row r="548" spans="1:16" x14ac:dyDescent="0.25">
      <c r="A548" s="27">
        <v>45103</v>
      </c>
      <c r="B548" s="23">
        <v>10</v>
      </c>
      <c r="C548" s="23">
        <v>10</v>
      </c>
      <c r="D548" s="23">
        <v>10</v>
      </c>
      <c r="E548" s="23">
        <v>0</v>
      </c>
      <c r="F548" s="23">
        <v>0</v>
      </c>
      <c r="G548" s="23">
        <v>0</v>
      </c>
      <c r="H548" s="23">
        <v>1</v>
      </c>
      <c r="I548" s="23">
        <v>2</v>
      </c>
      <c r="J548" s="23">
        <v>0</v>
      </c>
      <c r="K548" s="23">
        <v>0</v>
      </c>
      <c r="L548" s="23">
        <v>0</v>
      </c>
      <c r="M548" s="23">
        <v>3</v>
      </c>
      <c r="N548" s="23">
        <v>1</v>
      </c>
      <c r="O548" s="23">
        <v>2</v>
      </c>
      <c r="P548" s="28">
        <v>1</v>
      </c>
    </row>
    <row r="549" spans="1:16" x14ac:dyDescent="0.25">
      <c r="A549" s="27">
        <v>45104</v>
      </c>
      <c r="B549" s="23">
        <v>18</v>
      </c>
      <c r="C549" s="23">
        <v>14</v>
      </c>
      <c r="D549" s="23">
        <v>13</v>
      </c>
      <c r="E549" s="23">
        <v>1</v>
      </c>
      <c r="F549" s="23">
        <v>4</v>
      </c>
      <c r="G549" s="23">
        <v>0</v>
      </c>
      <c r="H549" s="23">
        <v>3</v>
      </c>
      <c r="I549" s="23">
        <v>0</v>
      </c>
      <c r="J549" s="23">
        <v>2</v>
      </c>
      <c r="K549" s="23">
        <v>1</v>
      </c>
      <c r="L549" s="23">
        <v>1</v>
      </c>
      <c r="M549" s="23">
        <v>0</v>
      </c>
      <c r="N549" s="23">
        <v>1</v>
      </c>
      <c r="O549" s="23">
        <v>4</v>
      </c>
      <c r="P549" s="28">
        <v>1</v>
      </c>
    </row>
    <row r="550" spans="1:16" x14ac:dyDescent="0.25">
      <c r="A550" s="27">
        <v>45105</v>
      </c>
      <c r="B550" s="23">
        <v>7</v>
      </c>
      <c r="C550" s="23">
        <v>4</v>
      </c>
      <c r="D550" s="23">
        <v>4</v>
      </c>
      <c r="E550" s="23">
        <v>0</v>
      </c>
      <c r="F550" s="23">
        <v>1</v>
      </c>
      <c r="G550" s="23">
        <v>2</v>
      </c>
      <c r="H550" s="23">
        <v>0</v>
      </c>
      <c r="I550" s="23">
        <v>1</v>
      </c>
      <c r="J550" s="23">
        <v>0</v>
      </c>
      <c r="K550" s="23">
        <v>0</v>
      </c>
      <c r="L550" s="23">
        <v>0</v>
      </c>
      <c r="M550" s="23">
        <v>0</v>
      </c>
      <c r="N550" s="23">
        <v>1</v>
      </c>
      <c r="O550" s="23">
        <v>1</v>
      </c>
      <c r="P550" s="28">
        <v>1</v>
      </c>
    </row>
    <row r="551" spans="1:16" x14ac:dyDescent="0.25">
      <c r="A551" s="27">
        <v>45106</v>
      </c>
      <c r="B551" s="23">
        <v>14</v>
      </c>
      <c r="C551" s="23">
        <v>11</v>
      </c>
      <c r="D551" s="23">
        <v>11</v>
      </c>
      <c r="E551" s="23">
        <v>0</v>
      </c>
      <c r="F551" s="23">
        <v>1</v>
      </c>
      <c r="G551" s="23">
        <v>2</v>
      </c>
      <c r="H551" s="23">
        <v>0</v>
      </c>
      <c r="I551" s="23">
        <v>3</v>
      </c>
      <c r="J551" s="23">
        <v>1</v>
      </c>
      <c r="K551" s="23">
        <v>0</v>
      </c>
      <c r="L551" s="23">
        <v>1</v>
      </c>
      <c r="M551" s="23">
        <v>0</v>
      </c>
      <c r="N551" s="23">
        <v>1</v>
      </c>
      <c r="O551" s="23">
        <v>2</v>
      </c>
      <c r="P551" s="28">
        <v>3</v>
      </c>
    </row>
    <row r="552" spans="1:16" x14ac:dyDescent="0.25">
      <c r="A552" s="27">
        <v>45107</v>
      </c>
      <c r="B552" s="23">
        <v>19</v>
      </c>
      <c r="C552" s="23">
        <v>19</v>
      </c>
      <c r="D552" s="23">
        <v>17</v>
      </c>
      <c r="E552" s="23">
        <v>2</v>
      </c>
      <c r="F552" s="23">
        <v>0</v>
      </c>
      <c r="G552" s="23">
        <v>0</v>
      </c>
      <c r="H552" s="23">
        <v>4</v>
      </c>
      <c r="I552" s="23">
        <v>2</v>
      </c>
      <c r="J552" s="23">
        <v>2</v>
      </c>
      <c r="K552" s="23">
        <v>1</v>
      </c>
      <c r="L552" s="23">
        <v>0</v>
      </c>
      <c r="M552" s="23">
        <v>1</v>
      </c>
      <c r="N552" s="23">
        <v>3</v>
      </c>
      <c r="O552" s="23">
        <v>4</v>
      </c>
      <c r="P552" s="28">
        <v>0</v>
      </c>
    </row>
    <row r="553" spans="1:16" x14ac:dyDescent="0.25">
      <c r="A553" s="27">
        <v>45108</v>
      </c>
      <c r="B553" s="23">
        <v>13</v>
      </c>
      <c r="C553" s="23">
        <v>10</v>
      </c>
      <c r="D553" s="23">
        <v>9</v>
      </c>
      <c r="E553" s="23">
        <v>1</v>
      </c>
      <c r="F553" s="23">
        <v>3</v>
      </c>
      <c r="G553" s="23">
        <v>0</v>
      </c>
      <c r="H553" s="23">
        <v>0</v>
      </c>
      <c r="I553" s="23">
        <v>0</v>
      </c>
      <c r="J553" s="23">
        <v>2</v>
      </c>
      <c r="K553" s="23">
        <v>1</v>
      </c>
      <c r="L553" s="23">
        <v>0</v>
      </c>
      <c r="M553" s="23">
        <v>2</v>
      </c>
      <c r="N553" s="23">
        <v>1</v>
      </c>
      <c r="O553" s="23">
        <v>0</v>
      </c>
      <c r="P553" s="28">
        <v>3</v>
      </c>
    </row>
    <row r="554" spans="1:16" x14ac:dyDescent="0.25">
      <c r="A554" s="27">
        <v>45109</v>
      </c>
      <c r="B554" s="23">
        <v>14</v>
      </c>
      <c r="C554" s="23">
        <v>13</v>
      </c>
      <c r="D554" s="23">
        <v>12</v>
      </c>
      <c r="E554" s="23">
        <v>1</v>
      </c>
      <c r="F554" s="23">
        <v>1</v>
      </c>
      <c r="G554" s="23">
        <v>0</v>
      </c>
      <c r="H554" s="23">
        <v>0</v>
      </c>
      <c r="I554" s="23">
        <v>2</v>
      </c>
      <c r="J554" s="23">
        <v>2</v>
      </c>
      <c r="K554" s="23">
        <v>0</v>
      </c>
      <c r="L554" s="23">
        <v>1</v>
      </c>
      <c r="M554" s="23">
        <v>1</v>
      </c>
      <c r="N554" s="23">
        <v>3</v>
      </c>
      <c r="O554" s="23">
        <v>2</v>
      </c>
      <c r="P554" s="28">
        <v>1</v>
      </c>
    </row>
    <row r="555" spans="1:16" x14ac:dyDescent="0.25">
      <c r="A555" s="27">
        <v>45110</v>
      </c>
      <c r="B555" s="23">
        <v>7</v>
      </c>
      <c r="C555" s="23">
        <v>7</v>
      </c>
      <c r="D555" s="23">
        <v>7</v>
      </c>
      <c r="E555" s="23">
        <v>0</v>
      </c>
      <c r="F555" s="23">
        <v>0</v>
      </c>
      <c r="G555" s="23">
        <v>0</v>
      </c>
      <c r="H555" s="23">
        <v>0</v>
      </c>
      <c r="I555" s="23">
        <v>0</v>
      </c>
      <c r="J555" s="23">
        <v>1</v>
      </c>
      <c r="K555" s="23">
        <v>0</v>
      </c>
      <c r="L555" s="23">
        <v>1</v>
      </c>
      <c r="M555" s="23">
        <v>1</v>
      </c>
      <c r="N555" s="23">
        <v>2</v>
      </c>
      <c r="O555" s="23">
        <v>2</v>
      </c>
      <c r="P555" s="28">
        <v>0</v>
      </c>
    </row>
    <row r="556" spans="1:16" x14ac:dyDescent="0.25">
      <c r="A556" s="27">
        <v>45111</v>
      </c>
      <c r="B556" s="23">
        <v>9</v>
      </c>
      <c r="C556" s="23">
        <v>8</v>
      </c>
      <c r="D556" s="23">
        <v>7</v>
      </c>
      <c r="E556" s="23">
        <v>1</v>
      </c>
      <c r="F556" s="23">
        <v>1</v>
      </c>
      <c r="G556" s="23">
        <v>0</v>
      </c>
      <c r="H556" s="23">
        <v>1</v>
      </c>
      <c r="I556" s="23">
        <v>2</v>
      </c>
      <c r="J556" s="23">
        <v>0</v>
      </c>
      <c r="K556" s="23">
        <v>1</v>
      </c>
      <c r="L556" s="23">
        <v>1</v>
      </c>
      <c r="M556" s="23">
        <v>0</v>
      </c>
      <c r="N556" s="23">
        <v>1</v>
      </c>
      <c r="O556" s="23">
        <v>1</v>
      </c>
      <c r="P556" s="28">
        <v>0</v>
      </c>
    </row>
    <row r="557" spans="1:16" x14ac:dyDescent="0.25">
      <c r="A557" s="27">
        <v>45112</v>
      </c>
      <c r="B557" s="23">
        <v>12</v>
      </c>
      <c r="C557" s="23">
        <v>11</v>
      </c>
      <c r="D557" s="23">
        <v>11</v>
      </c>
      <c r="E557" s="23">
        <v>0</v>
      </c>
      <c r="F557" s="23">
        <v>1</v>
      </c>
      <c r="G557" s="23">
        <v>0</v>
      </c>
      <c r="H557" s="23">
        <v>0</v>
      </c>
      <c r="I557" s="23">
        <v>2</v>
      </c>
      <c r="J557" s="23">
        <v>0</v>
      </c>
      <c r="K557" s="23">
        <v>2</v>
      </c>
      <c r="L557" s="23">
        <v>2</v>
      </c>
      <c r="M557" s="23">
        <v>1</v>
      </c>
      <c r="N557" s="23">
        <v>1</v>
      </c>
      <c r="O557" s="23">
        <v>2</v>
      </c>
      <c r="P557" s="28">
        <v>1</v>
      </c>
    </row>
    <row r="558" spans="1:16" x14ac:dyDescent="0.25">
      <c r="A558" s="27">
        <v>45113</v>
      </c>
      <c r="B558" s="23">
        <v>12</v>
      </c>
      <c r="C558" s="23">
        <v>11</v>
      </c>
      <c r="D558" s="23">
        <v>11</v>
      </c>
      <c r="E558" s="23">
        <v>0</v>
      </c>
      <c r="F558" s="23">
        <v>0</v>
      </c>
      <c r="G558" s="23">
        <v>1</v>
      </c>
      <c r="H558" s="23">
        <v>0</v>
      </c>
      <c r="I558" s="23">
        <v>1</v>
      </c>
      <c r="J558" s="23">
        <v>1</v>
      </c>
      <c r="K558" s="23">
        <v>2</v>
      </c>
      <c r="L558" s="23">
        <v>3</v>
      </c>
      <c r="M558" s="23">
        <v>2</v>
      </c>
      <c r="N558" s="23">
        <v>0</v>
      </c>
      <c r="O558" s="23">
        <v>1</v>
      </c>
      <c r="P558" s="28">
        <v>1</v>
      </c>
    </row>
    <row r="559" spans="1:16" x14ac:dyDescent="0.25">
      <c r="A559" s="27">
        <v>45114</v>
      </c>
      <c r="B559" s="23">
        <v>7</v>
      </c>
      <c r="C559" s="23">
        <v>7</v>
      </c>
      <c r="D559" s="23">
        <v>7</v>
      </c>
      <c r="E559" s="23">
        <v>0</v>
      </c>
      <c r="F559" s="23">
        <v>0</v>
      </c>
      <c r="G559" s="23">
        <v>0</v>
      </c>
      <c r="H559" s="23">
        <v>1</v>
      </c>
      <c r="I559" s="23">
        <v>0</v>
      </c>
      <c r="J559" s="23">
        <v>1</v>
      </c>
      <c r="K559" s="23">
        <v>2</v>
      </c>
      <c r="L559" s="23">
        <v>1</v>
      </c>
      <c r="M559" s="23">
        <v>1</v>
      </c>
      <c r="N559" s="23">
        <v>1</v>
      </c>
      <c r="O559" s="23">
        <v>0</v>
      </c>
      <c r="P559" s="28">
        <v>0</v>
      </c>
    </row>
    <row r="560" spans="1:16" x14ac:dyDescent="0.25">
      <c r="A560" s="27">
        <v>45115</v>
      </c>
      <c r="B560" s="23">
        <v>9</v>
      </c>
      <c r="C560" s="23">
        <v>7</v>
      </c>
      <c r="D560" s="23">
        <v>5</v>
      </c>
      <c r="E560" s="23">
        <v>2</v>
      </c>
      <c r="F560" s="23">
        <v>2</v>
      </c>
      <c r="G560" s="23">
        <v>0</v>
      </c>
      <c r="H560" s="23">
        <v>0</v>
      </c>
      <c r="I560" s="23">
        <v>0</v>
      </c>
      <c r="J560" s="23">
        <v>1</v>
      </c>
      <c r="K560" s="23">
        <v>0</v>
      </c>
      <c r="L560" s="23">
        <v>0</v>
      </c>
      <c r="M560" s="23">
        <v>0</v>
      </c>
      <c r="N560" s="23">
        <v>1</v>
      </c>
      <c r="O560" s="23">
        <v>2</v>
      </c>
      <c r="P560" s="28">
        <v>1</v>
      </c>
    </row>
    <row r="561" spans="1:16" x14ac:dyDescent="0.25">
      <c r="A561" s="27">
        <v>45116</v>
      </c>
      <c r="B561" s="23">
        <v>8</v>
      </c>
      <c r="C561" s="23">
        <v>6</v>
      </c>
      <c r="D561" s="23">
        <v>6</v>
      </c>
      <c r="E561" s="23">
        <v>0</v>
      </c>
      <c r="F561" s="23">
        <v>2</v>
      </c>
      <c r="G561" s="23">
        <v>0</v>
      </c>
      <c r="H561" s="23">
        <v>0</v>
      </c>
      <c r="I561" s="23">
        <v>0</v>
      </c>
      <c r="J561" s="23">
        <v>2</v>
      </c>
      <c r="K561" s="23">
        <v>0</v>
      </c>
      <c r="L561" s="23">
        <v>1</v>
      </c>
      <c r="M561" s="23">
        <v>0</v>
      </c>
      <c r="N561" s="23">
        <v>0</v>
      </c>
      <c r="O561" s="23">
        <v>1</v>
      </c>
      <c r="P561" s="28">
        <v>2</v>
      </c>
    </row>
    <row r="562" spans="1:16" x14ac:dyDescent="0.25">
      <c r="A562" s="27">
        <v>45117</v>
      </c>
      <c r="B562" s="23">
        <v>11</v>
      </c>
      <c r="C562" s="23">
        <v>9</v>
      </c>
      <c r="D562" s="23">
        <v>9</v>
      </c>
      <c r="E562" s="23">
        <v>0</v>
      </c>
      <c r="F562" s="23">
        <v>1</v>
      </c>
      <c r="G562" s="23">
        <v>1</v>
      </c>
      <c r="H562" s="23">
        <v>0</v>
      </c>
      <c r="I562" s="23">
        <v>0</v>
      </c>
      <c r="J562" s="23">
        <v>0</v>
      </c>
      <c r="K562" s="23">
        <v>0</v>
      </c>
      <c r="L562" s="23">
        <v>2</v>
      </c>
      <c r="M562" s="23">
        <v>1</v>
      </c>
      <c r="N562" s="23">
        <v>1</v>
      </c>
      <c r="O562" s="23">
        <v>4</v>
      </c>
      <c r="P562" s="28">
        <v>1</v>
      </c>
    </row>
    <row r="563" spans="1:16" x14ac:dyDescent="0.25">
      <c r="A563" s="27">
        <v>45118</v>
      </c>
      <c r="B563" s="23">
        <v>8</v>
      </c>
      <c r="C563" s="23">
        <v>7</v>
      </c>
      <c r="D563" s="23">
        <v>6</v>
      </c>
      <c r="E563" s="23">
        <v>1</v>
      </c>
      <c r="F563" s="23">
        <v>1</v>
      </c>
      <c r="G563" s="23">
        <v>0</v>
      </c>
      <c r="H563" s="23">
        <v>1</v>
      </c>
      <c r="I563" s="23">
        <v>0</v>
      </c>
      <c r="J563" s="23">
        <v>1</v>
      </c>
      <c r="K563" s="23">
        <v>1</v>
      </c>
      <c r="L563" s="23">
        <v>0</v>
      </c>
      <c r="M563" s="23">
        <v>2</v>
      </c>
      <c r="N563" s="23">
        <v>0</v>
      </c>
      <c r="O563" s="23">
        <v>1</v>
      </c>
      <c r="P563" s="28">
        <v>0</v>
      </c>
    </row>
    <row r="564" spans="1:16" x14ac:dyDescent="0.25">
      <c r="A564" s="27">
        <v>45119</v>
      </c>
      <c r="B564" s="23">
        <v>8</v>
      </c>
      <c r="C564" s="23">
        <v>6</v>
      </c>
      <c r="D564" s="23">
        <v>6</v>
      </c>
      <c r="E564" s="23">
        <v>0</v>
      </c>
      <c r="F564" s="23">
        <v>1</v>
      </c>
      <c r="G564" s="23">
        <v>1</v>
      </c>
      <c r="H564" s="23">
        <v>0</v>
      </c>
      <c r="I564" s="23">
        <v>0</v>
      </c>
      <c r="J564" s="23">
        <v>0</v>
      </c>
      <c r="K564" s="23">
        <v>0</v>
      </c>
      <c r="L564" s="23">
        <v>2</v>
      </c>
      <c r="M564" s="23">
        <v>3</v>
      </c>
      <c r="N564" s="23">
        <v>0</v>
      </c>
      <c r="O564" s="23">
        <v>1</v>
      </c>
      <c r="P564" s="28">
        <v>0</v>
      </c>
    </row>
    <row r="565" spans="1:16" x14ac:dyDescent="0.25">
      <c r="A565" s="27">
        <v>45120</v>
      </c>
      <c r="B565" s="23">
        <v>15</v>
      </c>
      <c r="C565" s="23">
        <v>14</v>
      </c>
      <c r="D565" s="23">
        <v>11</v>
      </c>
      <c r="E565" s="23">
        <v>3</v>
      </c>
      <c r="F565" s="23">
        <v>1</v>
      </c>
      <c r="G565" s="23">
        <v>0</v>
      </c>
      <c r="H565" s="23">
        <v>2</v>
      </c>
      <c r="I565" s="23">
        <v>0</v>
      </c>
      <c r="J565" s="23">
        <v>0</v>
      </c>
      <c r="K565" s="23">
        <v>2</v>
      </c>
      <c r="L565" s="23">
        <v>0</v>
      </c>
      <c r="M565" s="23">
        <v>0</v>
      </c>
      <c r="N565" s="23">
        <v>2</v>
      </c>
      <c r="O565" s="23">
        <v>4</v>
      </c>
      <c r="P565" s="28">
        <v>1</v>
      </c>
    </row>
    <row r="566" spans="1:16" x14ac:dyDescent="0.25">
      <c r="A566" s="27">
        <v>45121</v>
      </c>
      <c r="B566" s="23">
        <v>4</v>
      </c>
      <c r="C566" s="23">
        <v>2</v>
      </c>
      <c r="D566" s="23">
        <v>2</v>
      </c>
      <c r="E566" s="23">
        <v>0</v>
      </c>
      <c r="F566" s="23">
        <v>2</v>
      </c>
      <c r="G566" s="23">
        <v>0</v>
      </c>
      <c r="H566" s="23">
        <v>0</v>
      </c>
      <c r="I566" s="23">
        <v>0</v>
      </c>
      <c r="J566" s="23">
        <v>0</v>
      </c>
      <c r="K566" s="23">
        <v>0</v>
      </c>
      <c r="L566" s="23">
        <v>0</v>
      </c>
      <c r="M566" s="23">
        <v>0</v>
      </c>
      <c r="N566" s="23">
        <v>0</v>
      </c>
      <c r="O566" s="23">
        <v>1</v>
      </c>
      <c r="P566" s="28">
        <v>1</v>
      </c>
    </row>
    <row r="567" spans="1:16" x14ac:dyDescent="0.25">
      <c r="A567" s="27">
        <v>45122</v>
      </c>
      <c r="B567" s="23">
        <v>10</v>
      </c>
      <c r="C567" s="23">
        <v>8</v>
      </c>
      <c r="D567" s="23">
        <v>6</v>
      </c>
      <c r="E567" s="23">
        <v>2</v>
      </c>
      <c r="F567" s="23">
        <v>2</v>
      </c>
      <c r="G567" s="23">
        <v>0</v>
      </c>
      <c r="H567" s="23">
        <v>0</v>
      </c>
      <c r="I567" s="23">
        <v>0</v>
      </c>
      <c r="J567" s="23">
        <v>1</v>
      </c>
      <c r="K567" s="23">
        <v>1</v>
      </c>
      <c r="L567" s="23">
        <v>0</v>
      </c>
      <c r="M567" s="23">
        <v>1</v>
      </c>
      <c r="N567" s="23">
        <v>0</v>
      </c>
      <c r="O567" s="23">
        <v>1</v>
      </c>
      <c r="P567" s="28">
        <v>2</v>
      </c>
    </row>
    <row r="568" spans="1:16" x14ac:dyDescent="0.25">
      <c r="A568" s="27">
        <v>45123</v>
      </c>
      <c r="B568" s="23">
        <v>8</v>
      </c>
      <c r="C568" s="23">
        <v>6</v>
      </c>
      <c r="D568" s="23">
        <v>6</v>
      </c>
      <c r="E568" s="23">
        <v>0</v>
      </c>
      <c r="F568" s="23">
        <v>2</v>
      </c>
      <c r="G568" s="23">
        <v>0</v>
      </c>
      <c r="H568" s="23">
        <v>0</v>
      </c>
      <c r="I568" s="23">
        <v>0</v>
      </c>
      <c r="J568" s="23">
        <v>1</v>
      </c>
      <c r="K568" s="23">
        <v>0</v>
      </c>
      <c r="L568" s="23">
        <v>1</v>
      </c>
      <c r="M568" s="23">
        <v>0</v>
      </c>
      <c r="N568" s="23">
        <v>1</v>
      </c>
      <c r="O568" s="23">
        <v>3</v>
      </c>
      <c r="P568" s="28">
        <v>0</v>
      </c>
    </row>
    <row r="569" spans="1:16" x14ac:dyDescent="0.25">
      <c r="A569" s="27">
        <v>45124</v>
      </c>
      <c r="B569" s="23">
        <v>8</v>
      </c>
      <c r="C569" s="23">
        <v>6</v>
      </c>
      <c r="D569" s="23">
        <v>6</v>
      </c>
      <c r="E569" s="23">
        <v>0</v>
      </c>
      <c r="F569" s="23">
        <v>2</v>
      </c>
      <c r="G569" s="23">
        <v>0</v>
      </c>
      <c r="H569" s="23">
        <v>1</v>
      </c>
      <c r="I569" s="23">
        <v>0</v>
      </c>
      <c r="J569" s="23">
        <v>1</v>
      </c>
      <c r="K569" s="23">
        <v>0</v>
      </c>
      <c r="L569" s="23">
        <v>1</v>
      </c>
      <c r="M569" s="23">
        <v>2</v>
      </c>
      <c r="N569" s="23">
        <v>0</v>
      </c>
      <c r="O569" s="23">
        <v>0</v>
      </c>
      <c r="P569" s="28">
        <v>1</v>
      </c>
    </row>
    <row r="570" spans="1:16" x14ac:dyDescent="0.25">
      <c r="A570" s="27">
        <v>45125</v>
      </c>
      <c r="B570" s="23">
        <v>11</v>
      </c>
      <c r="C570" s="23">
        <v>10</v>
      </c>
      <c r="D570" s="23">
        <v>8</v>
      </c>
      <c r="E570" s="23">
        <v>2</v>
      </c>
      <c r="F570" s="23">
        <v>0</v>
      </c>
      <c r="G570" s="23">
        <v>1</v>
      </c>
      <c r="H570" s="23">
        <v>0</v>
      </c>
      <c r="I570" s="23">
        <v>0</v>
      </c>
      <c r="J570" s="23">
        <v>2</v>
      </c>
      <c r="K570" s="23">
        <v>1</v>
      </c>
      <c r="L570" s="23">
        <v>2</v>
      </c>
      <c r="M570" s="23">
        <v>1</v>
      </c>
      <c r="N570" s="23">
        <v>0</v>
      </c>
      <c r="O570" s="23">
        <v>1</v>
      </c>
      <c r="P570" s="28">
        <v>1</v>
      </c>
    </row>
    <row r="571" spans="1:16" x14ac:dyDescent="0.25">
      <c r="A571" s="27">
        <v>45126</v>
      </c>
      <c r="B571" s="23">
        <v>12</v>
      </c>
      <c r="C571" s="23">
        <v>11</v>
      </c>
      <c r="D571" s="23">
        <v>10</v>
      </c>
      <c r="E571" s="23">
        <v>1</v>
      </c>
      <c r="F571" s="23">
        <v>1</v>
      </c>
      <c r="G571" s="23">
        <v>0</v>
      </c>
      <c r="H571" s="23">
        <v>0</v>
      </c>
      <c r="I571" s="23">
        <v>0</v>
      </c>
      <c r="J571" s="23">
        <v>0</v>
      </c>
      <c r="K571" s="23">
        <v>2</v>
      </c>
      <c r="L571" s="23">
        <v>1</v>
      </c>
      <c r="M571" s="23">
        <v>3</v>
      </c>
      <c r="N571" s="23">
        <v>0</v>
      </c>
      <c r="O571" s="23">
        <v>3</v>
      </c>
      <c r="P571" s="28">
        <v>1</v>
      </c>
    </row>
    <row r="572" spans="1:16" x14ac:dyDescent="0.25">
      <c r="A572" s="27">
        <v>45127</v>
      </c>
      <c r="B572" s="23">
        <v>3</v>
      </c>
      <c r="C572" s="23">
        <v>3</v>
      </c>
      <c r="D572" s="23">
        <v>3</v>
      </c>
      <c r="E572" s="23">
        <v>0</v>
      </c>
      <c r="F572" s="23">
        <v>0</v>
      </c>
      <c r="G572" s="23">
        <v>0</v>
      </c>
      <c r="H572" s="23">
        <v>0</v>
      </c>
      <c r="I572" s="23">
        <v>1</v>
      </c>
      <c r="J572" s="23">
        <v>0</v>
      </c>
      <c r="K572" s="23">
        <v>0</v>
      </c>
      <c r="L572" s="23">
        <v>1</v>
      </c>
      <c r="M572" s="23">
        <v>1</v>
      </c>
      <c r="N572" s="23">
        <v>0</v>
      </c>
      <c r="O572" s="23">
        <v>0</v>
      </c>
      <c r="P572" s="28">
        <v>0</v>
      </c>
    </row>
    <row r="573" spans="1:16" x14ac:dyDescent="0.25">
      <c r="A573" s="27">
        <v>45128</v>
      </c>
      <c r="B573" s="23">
        <v>12</v>
      </c>
      <c r="C573" s="23">
        <v>11</v>
      </c>
      <c r="D573" s="23">
        <v>9</v>
      </c>
      <c r="E573" s="23">
        <v>2</v>
      </c>
      <c r="F573" s="23">
        <v>1</v>
      </c>
      <c r="G573" s="23">
        <v>0</v>
      </c>
      <c r="H573" s="23">
        <v>0</v>
      </c>
      <c r="I573" s="23">
        <v>3</v>
      </c>
      <c r="J573" s="23">
        <v>2</v>
      </c>
      <c r="K573" s="23">
        <v>0</v>
      </c>
      <c r="L573" s="23">
        <v>0</v>
      </c>
      <c r="M573" s="23">
        <v>0</v>
      </c>
      <c r="N573" s="23">
        <v>1</v>
      </c>
      <c r="O573" s="23">
        <v>2</v>
      </c>
      <c r="P573" s="28">
        <v>1</v>
      </c>
    </row>
    <row r="574" spans="1:16" x14ac:dyDescent="0.25">
      <c r="A574" s="27">
        <v>45129</v>
      </c>
      <c r="B574" s="23">
        <v>8</v>
      </c>
      <c r="C574" s="23">
        <v>7</v>
      </c>
      <c r="D574" s="23">
        <v>5</v>
      </c>
      <c r="E574" s="23">
        <v>2</v>
      </c>
      <c r="F574" s="23">
        <v>1</v>
      </c>
      <c r="G574" s="23">
        <v>0</v>
      </c>
      <c r="H574" s="23">
        <v>0</v>
      </c>
      <c r="I574" s="23">
        <v>1</v>
      </c>
      <c r="J574" s="23">
        <v>1</v>
      </c>
      <c r="K574" s="23">
        <v>0</v>
      </c>
      <c r="L574" s="23">
        <v>0</v>
      </c>
      <c r="M574" s="23">
        <v>1</v>
      </c>
      <c r="N574" s="23">
        <v>1</v>
      </c>
      <c r="O574" s="23">
        <v>0</v>
      </c>
      <c r="P574" s="28">
        <v>1</v>
      </c>
    </row>
    <row r="575" spans="1:16" x14ac:dyDescent="0.25">
      <c r="A575" s="27">
        <v>45130</v>
      </c>
      <c r="B575" s="23">
        <v>10</v>
      </c>
      <c r="C575" s="23">
        <v>10</v>
      </c>
      <c r="D575" s="23">
        <v>9</v>
      </c>
      <c r="E575" s="23">
        <v>1</v>
      </c>
      <c r="F575" s="23">
        <v>0</v>
      </c>
      <c r="G575" s="23">
        <v>0</v>
      </c>
      <c r="H575" s="23">
        <v>0</v>
      </c>
      <c r="I575" s="23">
        <v>0</v>
      </c>
      <c r="J575" s="23">
        <v>2</v>
      </c>
      <c r="K575" s="23">
        <v>0</v>
      </c>
      <c r="L575" s="23">
        <v>1</v>
      </c>
      <c r="M575" s="23">
        <v>1</v>
      </c>
      <c r="N575" s="23">
        <v>1</v>
      </c>
      <c r="O575" s="23">
        <v>2</v>
      </c>
      <c r="P575" s="28">
        <v>2</v>
      </c>
    </row>
    <row r="576" spans="1:16" x14ac:dyDescent="0.25">
      <c r="A576" s="27">
        <v>45131</v>
      </c>
      <c r="B576" s="23">
        <v>9</v>
      </c>
      <c r="C576" s="23">
        <v>8</v>
      </c>
      <c r="D576" s="23">
        <v>7</v>
      </c>
      <c r="E576" s="23">
        <v>1</v>
      </c>
      <c r="F576" s="23">
        <v>1</v>
      </c>
      <c r="G576" s="23">
        <v>0</v>
      </c>
      <c r="H576" s="23">
        <v>1</v>
      </c>
      <c r="I576" s="23">
        <v>0</v>
      </c>
      <c r="J576" s="23">
        <v>0</v>
      </c>
      <c r="K576" s="23">
        <v>0</v>
      </c>
      <c r="L576" s="23">
        <v>2</v>
      </c>
      <c r="M576" s="23">
        <v>2</v>
      </c>
      <c r="N576" s="23">
        <v>1</v>
      </c>
      <c r="O576" s="23">
        <v>0</v>
      </c>
      <c r="P576" s="28">
        <v>1</v>
      </c>
    </row>
    <row r="577" spans="1:16" x14ac:dyDescent="0.25">
      <c r="A577" s="27">
        <v>45132</v>
      </c>
      <c r="B577" s="23">
        <v>11</v>
      </c>
      <c r="C577" s="23">
        <v>9</v>
      </c>
      <c r="D577" s="23">
        <v>9</v>
      </c>
      <c r="E577" s="23">
        <v>0</v>
      </c>
      <c r="F577" s="23">
        <v>1</v>
      </c>
      <c r="G577" s="23">
        <v>1</v>
      </c>
      <c r="H577" s="23">
        <v>1</v>
      </c>
      <c r="I577" s="23">
        <v>3</v>
      </c>
      <c r="J577" s="23">
        <v>0</v>
      </c>
      <c r="K577" s="23">
        <v>1</v>
      </c>
      <c r="L577" s="23">
        <v>1</v>
      </c>
      <c r="M577" s="23">
        <v>0</v>
      </c>
      <c r="N577" s="23">
        <v>0</v>
      </c>
      <c r="O577" s="23">
        <v>2</v>
      </c>
      <c r="P577" s="28">
        <v>1</v>
      </c>
    </row>
    <row r="578" spans="1:16" x14ac:dyDescent="0.25">
      <c r="A578" s="27">
        <v>45133</v>
      </c>
      <c r="B578" s="23">
        <v>14</v>
      </c>
      <c r="C578" s="23">
        <v>12</v>
      </c>
      <c r="D578" s="23">
        <v>12</v>
      </c>
      <c r="E578" s="23">
        <v>0</v>
      </c>
      <c r="F578" s="23">
        <v>2</v>
      </c>
      <c r="G578" s="23">
        <v>0</v>
      </c>
      <c r="H578" s="23">
        <v>3</v>
      </c>
      <c r="I578" s="23">
        <v>0</v>
      </c>
      <c r="J578" s="23">
        <v>3</v>
      </c>
      <c r="K578" s="23">
        <v>1</v>
      </c>
      <c r="L578" s="23">
        <v>1</v>
      </c>
      <c r="M578" s="23">
        <v>1</v>
      </c>
      <c r="N578" s="23">
        <v>2</v>
      </c>
      <c r="O578" s="23">
        <v>0</v>
      </c>
      <c r="P578" s="28">
        <v>1</v>
      </c>
    </row>
    <row r="579" spans="1:16" x14ac:dyDescent="0.25">
      <c r="A579" s="27">
        <v>45134</v>
      </c>
      <c r="B579" s="23">
        <v>13</v>
      </c>
      <c r="C579" s="23">
        <v>11</v>
      </c>
      <c r="D579" s="23">
        <v>10</v>
      </c>
      <c r="E579" s="23">
        <v>1</v>
      </c>
      <c r="F579" s="23">
        <v>0</v>
      </c>
      <c r="G579" s="23">
        <v>2</v>
      </c>
      <c r="H579" s="23">
        <v>0</v>
      </c>
      <c r="I579" s="23">
        <v>1</v>
      </c>
      <c r="J579" s="23">
        <v>4</v>
      </c>
      <c r="K579" s="23">
        <v>1</v>
      </c>
      <c r="L579" s="23">
        <v>1</v>
      </c>
      <c r="M579" s="23">
        <v>0</v>
      </c>
      <c r="N579" s="23">
        <v>1</v>
      </c>
      <c r="O579" s="23">
        <v>1</v>
      </c>
      <c r="P579" s="28">
        <v>1</v>
      </c>
    </row>
    <row r="580" spans="1:16" x14ac:dyDescent="0.25">
      <c r="A580" s="27">
        <v>45135</v>
      </c>
      <c r="B580" s="23">
        <v>16</v>
      </c>
      <c r="C580" s="23">
        <v>14</v>
      </c>
      <c r="D580" s="23">
        <v>14</v>
      </c>
      <c r="E580" s="23">
        <v>0</v>
      </c>
      <c r="F580" s="23">
        <v>2</v>
      </c>
      <c r="G580" s="23">
        <v>0</v>
      </c>
      <c r="H580" s="23">
        <v>2</v>
      </c>
      <c r="I580" s="23">
        <v>3</v>
      </c>
      <c r="J580" s="23">
        <v>3</v>
      </c>
      <c r="K580" s="23">
        <v>0</v>
      </c>
      <c r="L580" s="23">
        <v>3</v>
      </c>
      <c r="M580" s="23">
        <v>1</v>
      </c>
      <c r="N580" s="23">
        <v>1</v>
      </c>
      <c r="O580" s="23">
        <v>1</v>
      </c>
      <c r="P580" s="28">
        <v>0</v>
      </c>
    </row>
    <row r="581" spans="1:16" x14ac:dyDescent="0.25">
      <c r="A581" s="27">
        <v>45136</v>
      </c>
      <c r="B581" s="23">
        <v>12</v>
      </c>
      <c r="C581" s="23">
        <v>8</v>
      </c>
      <c r="D581" s="23">
        <v>8</v>
      </c>
      <c r="E581" s="23">
        <v>0</v>
      </c>
      <c r="F581" s="23">
        <v>3</v>
      </c>
      <c r="G581" s="23">
        <v>1</v>
      </c>
      <c r="H581" s="23">
        <v>0</v>
      </c>
      <c r="I581" s="23">
        <v>1</v>
      </c>
      <c r="J581" s="23">
        <v>0</v>
      </c>
      <c r="K581" s="23">
        <v>1</v>
      </c>
      <c r="L581" s="23">
        <v>2</v>
      </c>
      <c r="M581" s="23">
        <v>1</v>
      </c>
      <c r="N581" s="23">
        <v>2</v>
      </c>
      <c r="O581" s="23">
        <v>0</v>
      </c>
      <c r="P581" s="28">
        <v>1</v>
      </c>
    </row>
    <row r="582" spans="1:16" x14ac:dyDescent="0.25">
      <c r="A582" s="27">
        <v>45137</v>
      </c>
      <c r="B582" s="23">
        <v>10</v>
      </c>
      <c r="C582" s="23">
        <v>8</v>
      </c>
      <c r="D582" s="23">
        <v>6</v>
      </c>
      <c r="E582" s="23">
        <v>2</v>
      </c>
      <c r="F582" s="23">
        <v>1</v>
      </c>
      <c r="G582" s="23">
        <v>1</v>
      </c>
      <c r="H582" s="23">
        <v>0</v>
      </c>
      <c r="I582" s="23">
        <v>0</v>
      </c>
      <c r="J582" s="23">
        <v>1</v>
      </c>
      <c r="K582" s="23">
        <v>1</v>
      </c>
      <c r="L582" s="23">
        <v>1</v>
      </c>
      <c r="M582" s="23">
        <v>1</v>
      </c>
      <c r="N582" s="23">
        <v>0</v>
      </c>
      <c r="O582" s="23">
        <v>1</v>
      </c>
      <c r="P582" s="28">
        <v>1</v>
      </c>
    </row>
    <row r="583" spans="1:16" x14ac:dyDescent="0.25">
      <c r="A583" s="27">
        <v>45138</v>
      </c>
      <c r="B583" s="23">
        <v>17</v>
      </c>
      <c r="C583" s="23">
        <v>14</v>
      </c>
      <c r="D583" s="23">
        <v>13</v>
      </c>
      <c r="E583" s="23">
        <v>1</v>
      </c>
      <c r="F583" s="23">
        <v>2</v>
      </c>
      <c r="G583" s="23">
        <v>1</v>
      </c>
      <c r="H583" s="23">
        <v>1</v>
      </c>
      <c r="I583" s="23">
        <v>0</v>
      </c>
      <c r="J583" s="23">
        <v>3</v>
      </c>
      <c r="K583" s="23">
        <v>0</v>
      </c>
      <c r="L583" s="23">
        <v>0</v>
      </c>
      <c r="M583" s="23">
        <v>1</v>
      </c>
      <c r="N583" s="23">
        <v>3</v>
      </c>
      <c r="O583" s="23">
        <v>2</v>
      </c>
      <c r="P583" s="28">
        <v>3</v>
      </c>
    </row>
    <row r="584" spans="1:16" x14ac:dyDescent="0.25">
      <c r="A584" s="27">
        <v>45139</v>
      </c>
      <c r="B584" s="23">
        <v>18</v>
      </c>
      <c r="C584" s="23">
        <v>16</v>
      </c>
      <c r="D584" s="23">
        <v>16</v>
      </c>
      <c r="E584" s="23">
        <v>0</v>
      </c>
      <c r="F584" s="23">
        <v>0</v>
      </c>
      <c r="G584" s="23">
        <v>2</v>
      </c>
      <c r="H584" s="23">
        <v>1</v>
      </c>
      <c r="I584" s="23">
        <v>2</v>
      </c>
      <c r="J584" s="23">
        <v>2</v>
      </c>
      <c r="K584" s="23">
        <v>0</v>
      </c>
      <c r="L584" s="23">
        <v>2</v>
      </c>
      <c r="M584" s="23">
        <v>3</v>
      </c>
      <c r="N584" s="23">
        <v>1</v>
      </c>
      <c r="O584" s="23">
        <v>1</v>
      </c>
      <c r="P584" s="28">
        <v>4</v>
      </c>
    </row>
    <row r="585" spans="1:16" x14ac:dyDescent="0.25">
      <c r="A585" s="27">
        <v>45140</v>
      </c>
      <c r="B585" s="23">
        <v>19</v>
      </c>
      <c r="C585" s="23">
        <v>15</v>
      </c>
      <c r="D585" s="23">
        <v>13</v>
      </c>
      <c r="E585" s="23">
        <v>2</v>
      </c>
      <c r="F585" s="23">
        <v>3</v>
      </c>
      <c r="G585" s="23">
        <v>1</v>
      </c>
      <c r="H585" s="23">
        <v>1</v>
      </c>
      <c r="I585" s="23">
        <v>3</v>
      </c>
      <c r="J585" s="23">
        <v>1</v>
      </c>
      <c r="K585" s="23">
        <v>0</v>
      </c>
      <c r="L585" s="23">
        <v>2</v>
      </c>
      <c r="M585" s="23">
        <v>4</v>
      </c>
      <c r="N585" s="23">
        <v>0</v>
      </c>
      <c r="O585" s="23">
        <v>0</v>
      </c>
      <c r="P585" s="28">
        <v>2</v>
      </c>
    </row>
    <row r="586" spans="1:16" x14ac:dyDescent="0.25">
      <c r="A586" s="27">
        <v>45141</v>
      </c>
      <c r="B586" s="23">
        <v>12</v>
      </c>
      <c r="C586" s="23">
        <v>10</v>
      </c>
      <c r="D586" s="23">
        <v>10</v>
      </c>
      <c r="E586" s="23">
        <v>0</v>
      </c>
      <c r="F586" s="23">
        <v>2</v>
      </c>
      <c r="G586" s="23">
        <v>0</v>
      </c>
      <c r="H586" s="23">
        <v>0</v>
      </c>
      <c r="I586" s="23">
        <v>1</v>
      </c>
      <c r="J586" s="23">
        <v>2</v>
      </c>
      <c r="K586" s="23">
        <v>0</v>
      </c>
      <c r="L586" s="23">
        <v>2</v>
      </c>
      <c r="M586" s="23">
        <v>4</v>
      </c>
      <c r="N586" s="23">
        <v>1</v>
      </c>
      <c r="O586" s="23">
        <v>0</v>
      </c>
      <c r="P586" s="28">
        <v>0</v>
      </c>
    </row>
    <row r="587" spans="1:16" x14ac:dyDescent="0.25">
      <c r="A587" s="27">
        <v>45142</v>
      </c>
      <c r="B587" s="23">
        <v>13</v>
      </c>
      <c r="C587" s="23">
        <v>10</v>
      </c>
      <c r="D587" s="23">
        <v>10</v>
      </c>
      <c r="E587" s="23">
        <v>0</v>
      </c>
      <c r="F587" s="23">
        <v>2</v>
      </c>
      <c r="G587" s="23">
        <v>1</v>
      </c>
      <c r="H587" s="23">
        <v>0</v>
      </c>
      <c r="I587" s="23">
        <v>2</v>
      </c>
      <c r="J587" s="23">
        <v>1</v>
      </c>
      <c r="K587" s="23">
        <v>2</v>
      </c>
      <c r="L587" s="23">
        <v>1</v>
      </c>
      <c r="M587" s="23">
        <v>1</v>
      </c>
      <c r="N587" s="23">
        <v>0</v>
      </c>
      <c r="O587" s="23">
        <v>3</v>
      </c>
      <c r="P587" s="28">
        <v>0</v>
      </c>
    </row>
    <row r="588" spans="1:16" x14ac:dyDescent="0.25">
      <c r="A588" s="27">
        <v>45143</v>
      </c>
      <c r="B588" s="23">
        <v>22</v>
      </c>
      <c r="C588" s="23">
        <v>17</v>
      </c>
      <c r="D588" s="23">
        <v>15</v>
      </c>
      <c r="E588" s="23">
        <v>2</v>
      </c>
      <c r="F588" s="23">
        <v>3</v>
      </c>
      <c r="G588" s="23">
        <v>2</v>
      </c>
      <c r="H588" s="23">
        <v>2</v>
      </c>
      <c r="I588" s="23">
        <v>2</v>
      </c>
      <c r="J588" s="23">
        <v>0</v>
      </c>
      <c r="K588" s="23">
        <v>1</v>
      </c>
      <c r="L588" s="23">
        <v>3</v>
      </c>
      <c r="M588" s="23">
        <v>3</v>
      </c>
      <c r="N588" s="23">
        <v>2</v>
      </c>
      <c r="O588" s="23">
        <v>1</v>
      </c>
      <c r="P588" s="28">
        <v>1</v>
      </c>
    </row>
    <row r="589" spans="1:16" x14ac:dyDescent="0.25">
      <c r="A589" s="27">
        <v>45144</v>
      </c>
      <c r="B589" s="23">
        <v>20</v>
      </c>
      <c r="C589" s="23">
        <v>18</v>
      </c>
      <c r="D589" s="23">
        <v>15</v>
      </c>
      <c r="E589" s="23">
        <v>3</v>
      </c>
      <c r="F589" s="23">
        <v>2</v>
      </c>
      <c r="G589" s="23">
        <v>0</v>
      </c>
      <c r="H589" s="23">
        <v>2</v>
      </c>
      <c r="I589" s="23">
        <v>3</v>
      </c>
      <c r="J589" s="23">
        <v>2</v>
      </c>
      <c r="K589" s="23">
        <v>1</v>
      </c>
      <c r="L589" s="23">
        <v>1</v>
      </c>
      <c r="M589" s="23">
        <v>1</v>
      </c>
      <c r="N589" s="23">
        <v>2</v>
      </c>
      <c r="O589" s="23">
        <v>2</v>
      </c>
      <c r="P589" s="28">
        <v>1</v>
      </c>
    </row>
    <row r="590" spans="1:16" x14ac:dyDescent="0.25">
      <c r="A590" s="27">
        <v>45145</v>
      </c>
      <c r="B590" s="23">
        <v>13</v>
      </c>
      <c r="C590" s="23">
        <v>10</v>
      </c>
      <c r="D590" s="23">
        <v>9</v>
      </c>
      <c r="E590" s="23">
        <v>1</v>
      </c>
      <c r="F590" s="23">
        <v>2</v>
      </c>
      <c r="G590" s="23">
        <v>1</v>
      </c>
      <c r="H590" s="23">
        <v>1</v>
      </c>
      <c r="I590" s="23">
        <v>1</v>
      </c>
      <c r="J590" s="23">
        <v>0</v>
      </c>
      <c r="K590" s="23">
        <v>1</v>
      </c>
      <c r="L590" s="23">
        <v>2</v>
      </c>
      <c r="M590" s="23">
        <v>1</v>
      </c>
      <c r="N590" s="23">
        <v>0</v>
      </c>
      <c r="O590" s="23">
        <v>3</v>
      </c>
      <c r="P590" s="28">
        <v>0</v>
      </c>
    </row>
    <row r="591" spans="1:16" x14ac:dyDescent="0.25">
      <c r="A591" s="27">
        <v>45146</v>
      </c>
      <c r="B591" s="23">
        <v>13</v>
      </c>
      <c r="C591" s="23">
        <v>11</v>
      </c>
      <c r="D591" s="23">
        <v>11</v>
      </c>
      <c r="E591" s="23">
        <v>0</v>
      </c>
      <c r="F591" s="23">
        <v>2</v>
      </c>
      <c r="G591" s="23">
        <v>0</v>
      </c>
      <c r="H591" s="23">
        <v>0</v>
      </c>
      <c r="I591" s="23">
        <v>2</v>
      </c>
      <c r="J591" s="23">
        <v>0</v>
      </c>
      <c r="K591" s="23">
        <v>3</v>
      </c>
      <c r="L591" s="23">
        <v>0</v>
      </c>
      <c r="M591" s="23">
        <v>1</v>
      </c>
      <c r="N591" s="23">
        <v>1</v>
      </c>
      <c r="O591" s="23">
        <v>3</v>
      </c>
      <c r="P591" s="28">
        <v>1</v>
      </c>
    </row>
    <row r="592" spans="1:16" x14ac:dyDescent="0.25">
      <c r="A592" s="27">
        <v>45147</v>
      </c>
      <c r="B592" s="23">
        <v>13</v>
      </c>
      <c r="C592" s="23">
        <v>11</v>
      </c>
      <c r="D592" s="23">
        <v>11</v>
      </c>
      <c r="E592" s="23">
        <v>0</v>
      </c>
      <c r="F592" s="23">
        <v>0</v>
      </c>
      <c r="G592" s="23">
        <v>2</v>
      </c>
      <c r="H592" s="23">
        <v>1</v>
      </c>
      <c r="I592" s="23">
        <v>1</v>
      </c>
      <c r="J592" s="23">
        <v>2</v>
      </c>
      <c r="K592" s="23">
        <v>1</v>
      </c>
      <c r="L592" s="23">
        <v>3</v>
      </c>
      <c r="M592" s="23">
        <v>1</v>
      </c>
      <c r="N592" s="23">
        <v>0</v>
      </c>
      <c r="O592" s="23">
        <v>2</v>
      </c>
      <c r="P592" s="28">
        <v>0</v>
      </c>
    </row>
    <row r="593" spans="1:16" x14ac:dyDescent="0.25">
      <c r="A593" s="27">
        <v>45148</v>
      </c>
      <c r="B593" s="23">
        <v>32</v>
      </c>
      <c r="C593" s="23">
        <v>28</v>
      </c>
      <c r="D593" s="23">
        <v>28</v>
      </c>
      <c r="E593" s="23">
        <v>0</v>
      </c>
      <c r="F593" s="23">
        <v>3</v>
      </c>
      <c r="G593" s="23">
        <v>1</v>
      </c>
      <c r="H593" s="23">
        <v>4</v>
      </c>
      <c r="I593" s="23">
        <v>4</v>
      </c>
      <c r="J593" s="23">
        <v>4</v>
      </c>
      <c r="K593" s="23">
        <v>1</v>
      </c>
      <c r="L593" s="23">
        <v>3</v>
      </c>
      <c r="M593" s="23">
        <v>5</v>
      </c>
      <c r="N593" s="23">
        <v>1</v>
      </c>
      <c r="O593" s="23">
        <v>2</v>
      </c>
      <c r="P593" s="28">
        <v>4</v>
      </c>
    </row>
    <row r="594" spans="1:16" x14ac:dyDescent="0.25">
      <c r="A594" s="27">
        <v>45149</v>
      </c>
      <c r="B594" s="23">
        <v>24</v>
      </c>
      <c r="C594" s="23">
        <v>20</v>
      </c>
      <c r="D594" s="23">
        <v>18</v>
      </c>
      <c r="E594" s="23">
        <v>2</v>
      </c>
      <c r="F594" s="23">
        <v>3</v>
      </c>
      <c r="G594" s="23">
        <v>1</v>
      </c>
      <c r="H594" s="23">
        <v>0</v>
      </c>
      <c r="I594" s="23">
        <v>1</v>
      </c>
      <c r="J594" s="23">
        <v>1</v>
      </c>
      <c r="K594" s="23">
        <v>5</v>
      </c>
      <c r="L594" s="23">
        <v>0</v>
      </c>
      <c r="M594" s="23">
        <v>6</v>
      </c>
      <c r="N594" s="23">
        <v>1</v>
      </c>
      <c r="O594" s="23">
        <v>1</v>
      </c>
      <c r="P594" s="28">
        <v>3</v>
      </c>
    </row>
    <row r="595" spans="1:16" x14ac:dyDescent="0.25">
      <c r="A595" s="27">
        <v>45150</v>
      </c>
      <c r="B595" s="23">
        <v>35</v>
      </c>
      <c r="C595" s="23">
        <v>29</v>
      </c>
      <c r="D595" s="23">
        <v>25</v>
      </c>
      <c r="E595" s="23">
        <v>4</v>
      </c>
      <c r="F595" s="23">
        <v>5</v>
      </c>
      <c r="G595" s="23">
        <v>1</v>
      </c>
      <c r="H595" s="23">
        <v>1</v>
      </c>
      <c r="I595" s="23">
        <v>6</v>
      </c>
      <c r="J595" s="23">
        <v>3</v>
      </c>
      <c r="K595" s="23">
        <v>3</v>
      </c>
      <c r="L595" s="23">
        <v>1</v>
      </c>
      <c r="M595" s="23">
        <v>4</v>
      </c>
      <c r="N595" s="23">
        <v>0</v>
      </c>
      <c r="O595" s="23">
        <v>5</v>
      </c>
      <c r="P595" s="28">
        <v>2</v>
      </c>
    </row>
    <row r="596" spans="1:16" x14ac:dyDescent="0.25">
      <c r="A596" s="27">
        <v>45151</v>
      </c>
      <c r="B596" s="23">
        <v>20</v>
      </c>
      <c r="C596" s="23">
        <v>15</v>
      </c>
      <c r="D596" s="23">
        <v>13</v>
      </c>
      <c r="E596" s="23">
        <v>2</v>
      </c>
      <c r="F596" s="23">
        <v>5</v>
      </c>
      <c r="G596" s="23">
        <v>0</v>
      </c>
      <c r="H596" s="23">
        <v>0</v>
      </c>
      <c r="I596" s="23">
        <v>2</v>
      </c>
      <c r="J596" s="23">
        <v>4</v>
      </c>
      <c r="K596" s="23">
        <v>0</v>
      </c>
      <c r="L596" s="23">
        <v>1</v>
      </c>
      <c r="M596" s="23">
        <v>2</v>
      </c>
      <c r="N596" s="23">
        <v>0</v>
      </c>
      <c r="O596" s="23">
        <v>1</v>
      </c>
      <c r="P596" s="28">
        <v>3</v>
      </c>
    </row>
    <row r="597" spans="1:16" x14ac:dyDescent="0.25">
      <c r="A597" s="27">
        <v>45152</v>
      </c>
      <c r="B597" s="23">
        <v>25</v>
      </c>
      <c r="C597" s="23">
        <v>22</v>
      </c>
      <c r="D597" s="23">
        <v>19</v>
      </c>
      <c r="E597" s="23">
        <v>3</v>
      </c>
      <c r="F597" s="23">
        <v>2</v>
      </c>
      <c r="G597" s="23">
        <v>1</v>
      </c>
      <c r="H597" s="23">
        <v>1</v>
      </c>
      <c r="I597" s="23">
        <v>2</v>
      </c>
      <c r="J597" s="23">
        <v>4</v>
      </c>
      <c r="K597" s="23">
        <v>1</v>
      </c>
      <c r="L597" s="23">
        <v>2</v>
      </c>
      <c r="M597" s="23">
        <v>4</v>
      </c>
      <c r="N597" s="23">
        <v>1</v>
      </c>
      <c r="O597" s="23">
        <v>3</v>
      </c>
      <c r="P597" s="28">
        <v>1</v>
      </c>
    </row>
    <row r="598" spans="1:16" x14ac:dyDescent="0.25">
      <c r="A598" s="27">
        <v>45153</v>
      </c>
      <c r="B598" s="23">
        <v>22</v>
      </c>
      <c r="C598" s="23">
        <v>16</v>
      </c>
      <c r="D598" s="23">
        <v>13</v>
      </c>
      <c r="E598" s="23">
        <v>3</v>
      </c>
      <c r="F598" s="23">
        <v>6</v>
      </c>
      <c r="G598" s="23">
        <v>0</v>
      </c>
      <c r="H598" s="23">
        <v>2</v>
      </c>
      <c r="I598" s="23">
        <v>2</v>
      </c>
      <c r="J598" s="23">
        <v>0</v>
      </c>
      <c r="K598" s="23">
        <v>1</v>
      </c>
      <c r="L598" s="23">
        <v>3</v>
      </c>
      <c r="M598" s="23">
        <v>1</v>
      </c>
      <c r="N598" s="23">
        <v>1</v>
      </c>
      <c r="O598" s="23">
        <v>2</v>
      </c>
      <c r="P598" s="28">
        <v>1</v>
      </c>
    </row>
    <row r="599" spans="1:16" x14ac:dyDescent="0.25">
      <c r="A599" s="27">
        <v>45154</v>
      </c>
      <c r="B599" s="23">
        <v>33</v>
      </c>
      <c r="C599" s="23">
        <v>25</v>
      </c>
      <c r="D599" s="23">
        <v>22</v>
      </c>
      <c r="E599" s="23">
        <v>3</v>
      </c>
      <c r="F599" s="23">
        <v>7</v>
      </c>
      <c r="G599" s="23">
        <v>1</v>
      </c>
      <c r="H599" s="23">
        <v>2</v>
      </c>
      <c r="I599" s="23">
        <v>1</v>
      </c>
      <c r="J599" s="23">
        <v>2</v>
      </c>
      <c r="K599" s="23">
        <v>1</v>
      </c>
      <c r="L599" s="23">
        <v>3</v>
      </c>
      <c r="M599" s="23">
        <v>5</v>
      </c>
      <c r="N599" s="23">
        <v>0</v>
      </c>
      <c r="O599" s="23">
        <v>5</v>
      </c>
      <c r="P599" s="28">
        <v>3</v>
      </c>
    </row>
    <row r="600" spans="1:16" x14ac:dyDescent="0.25">
      <c r="A600" s="27">
        <v>45155</v>
      </c>
      <c r="B600" s="23">
        <v>35</v>
      </c>
      <c r="C600" s="23">
        <v>31</v>
      </c>
      <c r="D600" s="23">
        <v>25</v>
      </c>
      <c r="E600" s="23">
        <v>6</v>
      </c>
      <c r="F600" s="23">
        <v>2</v>
      </c>
      <c r="G600" s="23">
        <v>2</v>
      </c>
      <c r="H600" s="23">
        <v>1</v>
      </c>
      <c r="I600" s="23">
        <v>4</v>
      </c>
      <c r="J600" s="23">
        <v>3</v>
      </c>
      <c r="K600" s="23">
        <v>1</v>
      </c>
      <c r="L600" s="23">
        <v>2</v>
      </c>
      <c r="M600" s="23">
        <v>3</v>
      </c>
      <c r="N600" s="23">
        <v>2</v>
      </c>
      <c r="O600" s="23">
        <v>7</v>
      </c>
      <c r="P600" s="28">
        <v>2</v>
      </c>
    </row>
    <row r="601" spans="1:16" x14ac:dyDescent="0.25">
      <c r="A601" s="27">
        <v>45156</v>
      </c>
      <c r="B601" s="23">
        <v>26</v>
      </c>
      <c r="C601" s="23">
        <v>23</v>
      </c>
      <c r="D601" s="23">
        <v>21</v>
      </c>
      <c r="E601" s="23">
        <v>2</v>
      </c>
      <c r="F601" s="23">
        <v>2</v>
      </c>
      <c r="G601" s="23">
        <v>1</v>
      </c>
      <c r="H601" s="23">
        <v>3</v>
      </c>
      <c r="I601" s="23">
        <v>2</v>
      </c>
      <c r="J601" s="23">
        <v>2</v>
      </c>
      <c r="K601" s="23">
        <v>1</v>
      </c>
      <c r="L601" s="23">
        <v>2</v>
      </c>
      <c r="M601" s="23">
        <v>4</v>
      </c>
      <c r="N601" s="23">
        <v>0</v>
      </c>
      <c r="O601" s="23">
        <v>3</v>
      </c>
      <c r="P601" s="28">
        <v>4</v>
      </c>
    </row>
    <row r="602" spans="1:16" x14ac:dyDescent="0.25">
      <c r="A602" s="27">
        <v>45157</v>
      </c>
      <c r="B602" s="23">
        <v>46</v>
      </c>
      <c r="C602" s="23">
        <v>39</v>
      </c>
      <c r="D602" s="23">
        <v>34</v>
      </c>
      <c r="E602" s="23">
        <v>5</v>
      </c>
      <c r="F602" s="23">
        <v>5</v>
      </c>
      <c r="G602" s="23">
        <v>2</v>
      </c>
      <c r="H602" s="23">
        <v>1</v>
      </c>
      <c r="I602" s="23">
        <v>2</v>
      </c>
      <c r="J602" s="23">
        <v>5</v>
      </c>
      <c r="K602" s="23">
        <v>6</v>
      </c>
      <c r="L602" s="23">
        <v>4</v>
      </c>
      <c r="M602" s="23">
        <v>4</v>
      </c>
      <c r="N602" s="23">
        <v>2</v>
      </c>
      <c r="O602" s="23">
        <v>6</v>
      </c>
      <c r="P602" s="28">
        <v>4</v>
      </c>
    </row>
    <row r="603" spans="1:16" x14ac:dyDescent="0.25">
      <c r="A603" s="27">
        <v>45158</v>
      </c>
      <c r="B603" s="23">
        <v>31</v>
      </c>
      <c r="C603" s="23">
        <v>24</v>
      </c>
      <c r="D603" s="23">
        <v>22</v>
      </c>
      <c r="E603" s="23">
        <v>2</v>
      </c>
      <c r="F603" s="23">
        <v>4</v>
      </c>
      <c r="G603" s="23">
        <v>3</v>
      </c>
      <c r="H603" s="23">
        <v>1</v>
      </c>
      <c r="I603" s="23">
        <v>3</v>
      </c>
      <c r="J603" s="23">
        <v>3</v>
      </c>
      <c r="K603" s="23">
        <v>2</v>
      </c>
      <c r="L603" s="23">
        <v>3</v>
      </c>
      <c r="M603" s="23">
        <v>2</v>
      </c>
      <c r="N603" s="23">
        <v>1</v>
      </c>
      <c r="O603" s="23">
        <v>7</v>
      </c>
      <c r="P603" s="28">
        <v>0</v>
      </c>
    </row>
    <row r="604" spans="1:16" x14ac:dyDescent="0.25">
      <c r="A604" s="27">
        <v>45159</v>
      </c>
      <c r="B604" s="23">
        <v>29</v>
      </c>
      <c r="C604" s="23">
        <v>26</v>
      </c>
      <c r="D604" s="23">
        <v>24</v>
      </c>
      <c r="E604" s="23">
        <v>2</v>
      </c>
      <c r="F604" s="23">
        <v>2</v>
      </c>
      <c r="G604" s="23">
        <v>1</v>
      </c>
      <c r="H604" s="23">
        <v>1</v>
      </c>
      <c r="I604" s="23">
        <v>2</v>
      </c>
      <c r="J604" s="23">
        <v>3</v>
      </c>
      <c r="K604" s="23">
        <v>3</v>
      </c>
      <c r="L604" s="23">
        <v>1</v>
      </c>
      <c r="M604" s="23">
        <v>1</v>
      </c>
      <c r="N604" s="23">
        <v>6</v>
      </c>
      <c r="O604" s="23">
        <v>4</v>
      </c>
      <c r="P604" s="28">
        <v>3</v>
      </c>
    </row>
    <row r="605" spans="1:16" x14ac:dyDescent="0.25">
      <c r="A605" s="27">
        <v>45160</v>
      </c>
      <c r="B605" s="23">
        <v>29</v>
      </c>
      <c r="C605" s="23">
        <v>27</v>
      </c>
      <c r="D605" s="23">
        <v>20</v>
      </c>
      <c r="E605" s="23">
        <v>7</v>
      </c>
      <c r="F605" s="23">
        <v>1</v>
      </c>
      <c r="G605" s="23">
        <v>1</v>
      </c>
      <c r="H605" s="23">
        <v>0</v>
      </c>
      <c r="I605" s="23">
        <v>2</v>
      </c>
      <c r="J605" s="23">
        <v>2</v>
      </c>
      <c r="K605" s="23">
        <v>1</v>
      </c>
      <c r="L605" s="23">
        <v>1</v>
      </c>
      <c r="M605" s="23">
        <v>1</v>
      </c>
      <c r="N605" s="23">
        <v>4</v>
      </c>
      <c r="O605" s="23">
        <v>4</v>
      </c>
      <c r="P605" s="28">
        <v>5</v>
      </c>
    </row>
    <row r="606" spans="1:16" x14ac:dyDescent="0.25">
      <c r="A606" s="27">
        <v>45161</v>
      </c>
      <c r="B606" s="23">
        <v>26</v>
      </c>
      <c r="C606" s="23">
        <v>21</v>
      </c>
      <c r="D606" s="23">
        <v>19</v>
      </c>
      <c r="E606" s="23">
        <v>2</v>
      </c>
      <c r="F606" s="23">
        <v>3</v>
      </c>
      <c r="G606" s="23">
        <v>2</v>
      </c>
      <c r="H606" s="23">
        <v>0</v>
      </c>
      <c r="I606" s="23">
        <v>3</v>
      </c>
      <c r="J606" s="23">
        <v>2</v>
      </c>
      <c r="K606" s="23">
        <v>0</v>
      </c>
      <c r="L606" s="23">
        <v>0</v>
      </c>
      <c r="M606" s="23">
        <v>2</v>
      </c>
      <c r="N606" s="23">
        <v>2</v>
      </c>
      <c r="O606" s="23">
        <v>5</v>
      </c>
      <c r="P606" s="28">
        <v>5</v>
      </c>
    </row>
    <row r="607" spans="1:16" x14ac:dyDescent="0.25">
      <c r="A607" s="27">
        <v>45162</v>
      </c>
      <c r="B607" s="23">
        <v>25</v>
      </c>
      <c r="C607" s="23">
        <v>25</v>
      </c>
      <c r="D607" s="23">
        <v>23</v>
      </c>
      <c r="E607" s="23">
        <v>2</v>
      </c>
      <c r="F607" s="23">
        <v>0</v>
      </c>
      <c r="G607" s="23">
        <v>0</v>
      </c>
      <c r="H607" s="23">
        <v>1</v>
      </c>
      <c r="I607" s="23">
        <v>7</v>
      </c>
      <c r="J607" s="23">
        <v>0</v>
      </c>
      <c r="K607" s="23">
        <v>2</v>
      </c>
      <c r="L607" s="23">
        <v>1</v>
      </c>
      <c r="M607" s="23">
        <v>2</v>
      </c>
      <c r="N607" s="23">
        <v>2</v>
      </c>
      <c r="O607" s="23">
        <v>5</v>
      </c>
      <c r="P607" s="28">
        <v>3</v>
      </c>
    </row>
    <row r="608" spans="1:16" x14ac:dyDescent="0.25">
      <c r="A608" s="27">
        <v>45163</v>
      </c>
      <c r="B608" s="23">
        <v>24</v>
      </c>
      <c r="C608" s="23">
        <v>21</v>
      </c>
      <c r="D608" s="23">
        <v>19</v>
      </c>
      <c r="E608" s="23">
        <v>2</v>
      </c>
      <c r="F608" s="23">
        <v>3</v>
      </c>
      <c r="G608" s="23">
        <v>0</v>
      </c>
      <c r="H608" s="23">
        <v>1</v>
      </c>
      <c r="I608" s="23">
        <v>2</v>
      </c>
      <c r="J608" s="23">
        <v>4</v>
      </c>
      <c r="K608" s="23">
        <v>2</v>
      </c>
      <c r="L608" s="23">
        <v>1</v>
      </c>
      <c r="M608" s="23">
        <v>5</v>
      </c>
      <c r="N608" s="23">
        <v>2</v>
      </c>
      <c r="O608" s="23">
        <v>2</v>
      </c>
      <c r="P608" s="28">
        <v>0</v>
      </c>
    </row>
    <row r="609" spans="1:16" x14ac:dyDescent="0.25">
      <c r="A609" s="27">
        <v>45164</v>
      </c>
      <c r="B609" s="23">
        <v>21</v>
      </c>
      <c r="C609" s="23">
        <v>18</v>
      </c>
      <c r="D609" s="23">
        <v>17</v>
      </c>
      <c r="E609" s="23">
        <v>1</v>
      </c>
      <c r="F609" s="23">
        <v>3</v>
      </c>
      <c r="G609" s="23">
        <v>0</v>
      </c>
      <c r="H609" s="23">
        <v>3</v>
      </c>
      <c r="I609" s="23">
        <v>3</v>
      </c>
      <c r="J609" s="23">
        <v>0</v>
      </c>
      <c r="K609" s="23">
        <v>1</v>
      </c>
      <c r="L609" s="23">
        <v>2</v>
      </c>
      <c r="M609" s="23">
        <v>5</v>
      </c>
      <c r="N609" s="23">
        <v>0</v>
      </c>
      <c r="O609" s="23">
        <v>2</v>
      </c>
      <c r="P609" s="28">
        <v>1</v>
      </c>
    </row>
    <row r="610" spans="1:16" x14ac:dyDescent="0.25">
      <c r="A610" s="27">
        <v>45165</v>
      </c>
      <c r="B610" s="23">
        <v>25</v>
      </c>
      <c r="C610" s="23">
        <v>23</v>
      </c>
      <c r="D610" s="23">
        <v>21</v>
      </c>
      <c r="E610" s="23">
        <v>2</v>
      </c>
      <c r="F610" s="23">
        <v>1</v>
      </c>
      <c r="G610" s="23">
        <v>1</v>
      </c>
      <c r="H610" s="23">
        <v>0</v>
      </c>
      <c r="I610" s="23">
        <v>3</v>
      </c>
      <c r="J610" s="23">
        <v>3</v>
      </c>
      <c r="K610" s="23">
        <v>4</v>
      </c>
      <c r="L610" s="23">
        <v>4</v>
      </c>
      <c r="M610" s="23">
        <v>1</v>
      </c>
      <c r="N610" s="23">
        <v>1</v>
      </c>
      <c r="O610" s="23">
        <v>2</v>
      </c>
      <c r="P610" s="28">
        <v>3</v>
      </c>
    </row>
    <row r="611" spans="1:16" x14ac:dyDescent="0.25">
      <c r="A611" s="27">
        <v>45166</v>
      </c>
      <c r="B611" s="23">
        <v>19</v>
      </c>
      <c r="C611" s="23">
        <v>17</v>
      </c>
      <c r="D611" s="23">
        <v>15</v>
      </c>
      <c r="E611" s="23">
        <v>1</v>
      </c>
      <c r="F611" s="23">
        <v>2</v>
      </c>
      <c r="G611" s="23">
        <v>0</v>
      </c>
      <c r="H611" s="23">
        <v>0</v>
      </c>
      <c r="I611" s="23">
        <v>2</v>
      </c>
      <c r="J611" s="23">
        <v>0</v>
      </c>
      <c r="K611" s="23">
        <v>3</v>
      </c>
      <c r="L611" s="23">
        <v>2</v>
      </c>
      <c r="M611" s="23">
        <v>2</v>
      </c>
      <c r="N611" s="23">
        <v>2</v>
      </c>
      <c r="O611" s="23">
        <v>3</v>
      </c>
      <c r="P611" s="28">
        <v>1</v>
      </c>
    </row>
    <row r="612" spans="1:16" x14ac:dyDescent="0.25">
      <c r="A612" s="27">
        <v>45167</v>
      </c>
      <c r="B612" s="23">
        <v>30</v>
      </c>
      <c r="C612" s="23">
        <v>23</v>
      </c>
      <c r="D612" s="23">
        <v>18</v>
      </c>
      <c r="E612" s="23">
        <v>5</v>
      </c>
      <c r="F612" s="23">
        <v>6</v>
      </c>
      <c r="G612" s="23">
        <v>1</v>
      </c>
      <c r="H612" s="23">
        <v>0</v>
      </c>
      <c r="I612" s="23">
        <v>4</v>
      </c>
      <c r="J612" s="23">
        <v>1</v>
      </c>
      <c r="K612" s="23">
        <v>0</v>
      </c>
      <c r="L612" s="23">
        <v>2</v>
      </c>
      <c r="M612" s="23">
        <v>4</v>
      </c>
      <c r="N612" s="23">
        <v>1</v>
      </c>
      <c r="O612" s="23">
        <v>4</v>
      </c>
      <c r="P612" s="28">
        <v>2</v>
      </c>
    </row>
    <row r="613" spans="1:16" x14ac:dyDescent="0.25">
      <c r="A613" s="27">
        <v>45168</v>
      </c>
      <c r="B613" s="23">
        <v>20</v>
      </c>
      <c r="C613" s="23">
        <v>19</v>
      </c>
      <c r="D613" s="23">
        <v>19</v>
      </c>
      <c r="E613" s="23">
        <v>0</v>
      </c>
      <c r="F613" s="23">
        <v>0</v>
      </c>
      <c r="G613" s="23">
        <v>1</v>
      </c>
      <c r="H613" s="23">
        <v>1</v>
      </c>
      <c r="I613" s="23">
        <v>4</v>
      </c>
      <c r="J613" s="23">
        <v>1</v>
      </c>
      <c r="K613" s="23">
        <v>2</v>
      </c>
      <c r="L613" s="23">
        <v>3</v>
      </c>
      <c r="M613" s="23">
        <v>3</v>
      </c>
      <c r="N613" s="23">
        <v>2</v>
      </c>
      <c r="O613" s="23">
        <v>1</v>
      </c>
      <c r="P613" s="28">
        <v>2</v>
      </c>
    </row>
    <row r="614" spans="1:16" x14ac:dyDescent="0.25">
      <c r="A614" s="27">
        <v>45169</v>
      </c>
      <c r="B614" s="23">
        <v>10</v>
      </c>
      <c r="C614" s="23">
        <v>10</v>
      </c>
      <c r="D614" s="23">
        <v>10</v>
      </c>
      <c r="E614" s="23">
        <v>0</v>
      </c>
      <c r="F614" s="23">
        <v>0</v>
      </c>
      <c r="G614" s="23">
        <v>0</v>
      </c>
      <c r="H614" s="23">
        <v>1</v>
      </c>
      <c r="I614" s="23">
        <v>0</v>
      </c>
      <c r="J614" s="23">
        <v>0</v>
      </c>
      <c r="K614" s="23">
        <v>1</v>
      </c>
      <c r="L614" s="23">
        <v>2</v>
      </c>
      <c r="M614" s="23">
        <v>3</v>
      </c>
      <c r="N614" s="23">
        <v>0</v>
      </c>
      <c r="O614" s="23">
        <v>0</v>
      </c>
      <c r="P614" s="28">
        <v>3</v>
      </c>
    </row>
    <row r="615" spans="1:16" x14ac:dyDescent="0.25">
      <c r="A615" s="27">
        <v>45170</v>
      </c>
      <c r="B615" s="23">
        <v>11</v>
      </c>
      <c r="C615" s="23">
        <v>11</v>
      </c>
      <c r="D615" s="23">
        <v>10</v>
      </c>
      <c r="E615" s="23">
        <v>1</v>
      </c>
      <c r="F615" s="23">
        <v>0</v>
      </c>
      <c r="G615" s="23">
        <v>0</v>
      </c>
      <c r="H615" s="23">
        <v>0</v>
      </c>
      <c r="I615" s="23">
        <v>2</v>
      </c>
      <c r="J615" s="23">
        <v>1</v>
      </c>
      <c r="K615" s="23">
        <v>1</v>
      </c>
      <c r="L615" s="23">
        <v>1</v>
      </c>
      <c r="M615" s="23">
        <v>0</v>
      </c>
      <c r="N615" s="23">
        <v>1</v>
      </c>
      <c r="O615" s="23">
        <v>2</v>
      </c>
      <c r="P615" s="28">
        <v>2</v>
      </c>
    </row>
    <row r="616" spans="1:16" x14ac:dyDescent="0.25">
      <c r="A616" s="10"/>
      <c r="B616" s="10"/>
      <c r="C616" s="10"/>
      <c r="D616" s="10"/>
      <c r="E616" s="10"/>
      <c r="F616" s="10"/>
      <c r="G616" s="10"/>
      <c r="H616" s="10"/>
      <c r="I616" s="10"/>
      <c r="J616" s="10"/>
      <c r="K616" s="10"/>
      <c r="L616" s="10"/>
      <c r="M616" s="10"/>
      <c r="N616" s="10"/>
      <c r="O616" s="10"/>
      <c r="P616" s="10"/>
    </row>
  </sheetData>
  <sheetProtection sheet="1" formatCells="0" formatColumns="0"/>
  <pageMargins left="0.7" right="0.7" top="0.75" bottom="0.75" header="0.3" footer="0.3"/>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42"/>
  <sheetViews>
    <sheetView showGridLines="0" workbookViewId="0"/>
  </sheetViews>
  <sheetFormatPr defaultColWidth="10.90625" defaultRowHeight="15" x14ac:dyDescent="0.25"/>
  <sheetData>
    <row r="1" spans="1:17" ht="17.399999999999999" x14ac:dyDescent="0.3">
      <c r="A1" s="1" t="s">
        <v>207</v>
      </c>
    </row>
    <row r="2" spans="1:17" ht="17.399999999999999" x14ac:dyDescent="0.3">
      <c r="A2" s="1" t="s">
        <v>208</v>
      </c>
    </row>
    <row r="3" spans="1:17" x14ac:dyDescent="0.25">
      <c r="A3" t="s">
        <v>45</v>
      </c>
    </row>
    <row r="4" spans="1:17" x14ac:dyDescent="0.25">
      <c r="A4" t="s">
        <v>114</v>
      </c>
    </row>
    <row r="5" spans="1:17" x14ac:dyDescent="0.25">
      <c r="A5" t="s">
        <v>209</v>
      </c>
    </row>
    <row r="6" spans="1:17" ht="46.8" x14ac:dyDescent="0.25">
      <c r="A6" s="11" t="s">
        <v>116</v>
      </c>
      <c r="B6" s="21" t="s">
        <v>210</v>
      </c>
      <c r="C6" s="21" t="s">
        <v>211</v>
      </c>
      <c r="D6" s="21" t="s">
        <v>212</v>
      </c>
      <c r="E6" s="21" t="s">
        <v>213</v>
      </c>
      <c r="F6" s="21" t="s">
        <v>214</v>
      </c>
      <c r="G6" s="21" t="s">
        <v>215</v>
      </c>
      <c r="H6" s="21" t="s">
        <v>216</v>
      </c>
      <c r="I6" s="21" t="s">
        <v>217</v>
      </c>
      <c r="J6" s="21" t="s">
        <v>218</v>
      </c>
      <c r="K6" s="21" t="s">
        <v>219</v>
      </c>
      <c r="L6" s="21" t="s">
        <v>220</v>
      </c>
      <c r="M6" s="21" t="s">
        <v>221</v>
      </c>
      <c r="N6" s="21" t="s">
        <v>222</v>
      </c>
      <c r="O6" s="21" t="s">
        <v>223</v>
      </c>
      <c r="P6" s="21" t="s">
        <v>224</v>
      </c>
      <c r="Q6" s="24" t="s">
        <v>225</v>
      </c>
    </row>
    <row r="7" spans="1:17" x14ac:dyDescent="0.25">
      <c r="A7" s="31">
        <v>1</v>
      </c>
      <c r="B7" s="22">
        <v>3699</v>
      </c>
      <c r="C7" s="22">
        <v>30</v>
      </c>
      <c r="D7" s="22">
        <v>3072</v>
      </c>
      <c r="E7" s="22">
        <v>627</v>
      </c>
      <c r="F7" s="22">
        <v>6870</v>
      </c>
      <c r="G7" s="22">
        <v>564</v>
      </c>
      <c r="H7" s="22">
        <v>6370</v>
      </c>
      <c r="I7" s="22">
        <v>500</v>
      </c>
      <c r="J7" s="22">
        <v>3555</v>
      </c>
      <c r="K7" s="22">
        <v>129</v>
      </c>
      <c r="L7" s="22">
        <v>2863</v>
      </c>
      <c r="M7" s="22">
        <v>692</v>
      </c>
      <c r="N7" s="22">
        <v>859</v>
      </c>
      <c r="O7" s="22">
        <v>16</v>
      </c>
      <c r="P7" s="22">
        <v>832</v>
      </c>
      <c r="Q7" s="26">
        <v>27</v>
      </c>
    </row>
    <row r="8" spans="1:17" x14ac:dyDescent="0.25">
      <c r="A8" s="32">
        <v>2</v>
      </c>
      <c r="B8" s="23">
        <v>4515</v>
      </c>
      <c r="C8" s="23">
        <v>55</v>
      </c>
      <c r="D8" s="23">
        <v>3433</v>
      </c>
      <c r="E8" s="23">
        <v>1082</v>
      </c>
      <c r="F8" s="23">
        <v>7920</v>
      </c>
      <c r="G8" s="23">
        <v>679</v>
      </c>
      <c r="H8" s="23">
        <v>7126</v>
      </c>
      <c r="I8" s="23">
        <v>794</v>
      </c>
      <c r="J8" s="23">
        <v>3954</v>
      </c>
      <c r="K8" s="23">
        <v>159</v>
      </c>
      <c r="L8" s="23">
        <v>3099</v>
      </c>
      <c r="M8" s="23">
        <v>855</v>
      </c>
      <c r="N8" s="23">
        <v>992</v>
      </c>
      <c r="O8" s="23">
        <v>29</v>
      </c>
      <c r="P8" s="23">
        <v>886</v>
      </c>
      <c r="Q8" s="28">
        <v>106</v>
      </c>
    </row>
    <row r="9" spans="1:17" x14ac:dyDescent="0.25">
      <c r="A9" s="32">
        <v>3</v>
      </c>
      <c r="B9" s="23">
        <v>4345</v>
      </c>
      <c r="C9" s="23">
        <v>53</v>
      </c>
      <c r="D9" s="23">
        <v>3375</v>
      </c>
      <c r="E9" s="23">
        <v>970</v>
      </c>
      <c r="F9" s="23">
        <v>6963</v>
      </c>
      <c r="G9" s="23">
        <v>560</v>
      </c>
      <c r="H9" s="23">
        <v>6855</v>
      </c>
      <c r="I9" s="23">
        <v>108</v>
      </c>
      <c r="J9" s="23">
        <v>3476</v>
      </c>
      <c r="K9" s="23">
        <v>150</v>
      </c>
      <c r="L9" s="23">
        <v>3101</v>
      </c>
      <c r="M9" s="23">
        <v>375</v>
      </c>
      <c r="N9" s="23">
        <v>1020</v>
      </c>
      <c r="O9" s="23">
        <v>18</v>
      </c>
      <c r="P9" s="23">
        <v>906</v>
      </c>
      <c r="Q9" s="28">
        <v>114</v>
      </c>
    </row>
    <row r="10" spans="1:17" x14ac:dyDescent="0.25">
      <c r="A10" s="32">
        <v>4</v>
      </c>
      <c r="B10" s="23">
        <v>4132</v>
      </c>
      <c r="C10" s="23">
        <v>30</v>
      </c>
      <c r="D10" s="23">
        <v>3345</v>
      </c>
      <c r="E10" s="23">
        <v>787</v>
      </c>
      <c r="F10" s="23">
        <v>5971</v>
      </c>
      <c r="G10" s="23">
        <v>458</v>
      </c>
      <c r="H10" s="23">
        <v>6586</v>
      </c>
      <c r="I10" s="23">
        <v>-615</v>
      </c>
      <c r="J10" s="23">
        <v>3043</v>
      </c>
      <c r="K10" s="23">
        <v>70</v>
      </c>
      <c r="L10" s="23">
        <v>3058</v>
      </c>
      <c r="M10" s="23">
        <v>-15</v>
      </c>
      <c r="N10" s="23">
        <v>991</v>
      </c>
      <c r="O10" s="23">
        <v>21</v>
      </c>
      <c r="P10" s="23">
        <v>889</v>
      </c>
      <c r="Q10" s="28">
        <v>102</v>
      </c>
    </row>
    <row r="11" spans="1:17" x14ac:dyDescent="0.25">
      <c r="A11" s="32">
        <v>5</v>
      </c>
      <c r="B11" s="23">
        <v>3929</v>
      </c>
      <c r="C11" s="23">
        <v>32</v>
      </c>
      <c r="D11" s="23">
        <v>3192</v>
      </c>
      <c r="E11" s="23">
        <v>737</v>
      </c>
      <c r="F11" s="23">
        <v>5770</v>
      </c>
      <c r="G11" s="23">
        <v>368</v>
      </c>
      <c r="H11" s="23">
        <v>6237</v>
      </c>
      <c r="I11" s="23">
        <v>-467</v>
      </c>
      <c r="J11" s="23">
        <v>2761</v>
      </c>
      <c r="K11" s="23">
        <v>86</v>
      </c>
      <c r="L11" s="23">
        <v>2949</v>
      </c>
      <c r="M11" s="23">
        <v>-188</v>
      </c>
      <c r="N11" s="23">
        <v>952</v>
      </c>
      <c r="O11" s="23">
        <v>13</v>
      </c>
      <c r="P11" s="23">
        <v>849</v>
      </c>
      <c r="Q11" s="28">
        <v>103</v>
      </c>
    </row>
    <row r="12" spans="1:17" x14ac:dyDescent="0.25">
      <c r="A12" s="32">
        <v>6</v>
      </c>
      <c r="B12" s="23">
        <v>3767</v>
      </c>
      <c r="C12" s="23">
        <v>31</v>
      </c>
      <c r="D12" s="23">
        <v>3124</v>
      </c>
      <c r="E12" s="23">
        <v>643</v>
      </c>
      <c r="F12" s="23">
        <v>5337</v>
      </c>
      <c r="G12" s="23">
        <v>329</v>
      </c>
      <c r="H12" s="23">
        <v>5940</v>
      </c>
      <c r="I12" s="23">
        <v>-603</v>
      </c>
      <c r="J12" s="23">
        <v>2633</v>
      </c>
      <c r="K12" s="23">
        <v>70</v>
      </c>
      <c r="L12" s="23">
        <v>2745</v>
      </c>
      <c r="M12" s="23">
        <v>-112</v>
      </c>
      <c r="N12" s="23">
        <v>935</v>
      </c>
      <c r="O12" s="23">
        <v>16</v>
      </c>
      <c r="P12" s="23">
        <v>857</v>
      </c>
      <c r="Q12" s="28">
        <v>78</v>
      </c>
    </row>
    <row r="13" spans="1:17" x14ac:dyDescent="0.25">
      <c r="A13" s="32">
        <v>7</v>
      </c>
      <c r="B13" s="23">
        <v>3440</v>
      </c>
      <c r="C13" s="23">
        <v>31</v>
      </c>
      <c r="D13" s="23">
        <v>3105</v>
      </c>
      <c r="E13" s="23">
        <v>335</v>
      </c>
      <c r="F13" s="23">
        <v>5244</v>
      </c>
      <c r="G13" s="23">
        <v>309</v>
      </c>
      <c r="H13" s="23">
        <v>5673</v>
      </c>
      <c r="I13" s="23">
        <v>-429</v>
      </c>
      <c r="J13" s="23">
        <v>2451</v>
      </c>
      <c r="K13" s="23">
        <v>59</v>
      </c>
      <c r="L13" s="23">
        <v>2537</v>
      </c>
      <c r="M13" s="23">
        <v>-86</v>
      </c>
      <c r="N13" s="23">
        <v>896</v>
      </c>
      <c r="O13" s="23">
        <v>17</v>
      </c>
      <c r="P13" s="23">
        <v>844</v>
      </c>
      <c r="Q13" s="28">
        <v>52</v>
      </c>
    </row>
    <row r="14" spans="1:17" x14ac:dyDescent="0.25">
      <c r="A14" s="32">
        <v>8</v>
      </c>
      <c r="B14" s="23">
        <v>3402</v>
      </c>
      <c r="C14" s="23">
        <v>24</v>
      </c>
      <c r="D14" s="23">
        <v>2992</v>
      </c>
      <c r="E14" s="23">
        <v>410</v>
      </c>
      <c r="F14" s="23">
        <v>5257</v>
      </c>
      <c r="G14" s="23">
        <v>324</v>
      </c>
      <c r="H14" s="23">
        <v>5474</v>
      </c>
      <c r="I14" s="23">
        <v>-217</v>
      </c>
      <c r="J14" s="23">
        <v>2432</v>
      </c>
      <c r="K14" s="23">
        <v>60</v>
      </c>
      <c r="L14" s="23">
        <v>2533</v>
      </c>
      <c r="M14" s="23">
        <v>-101</v>
      </c>
      <c r="N14" s="23">
        <v>861</v>
      </c>
      <c r="O14" s="23">
        <v>12</v>
      </c>
      <c r="P14" s="23">
        <v>804</v>
      </c>
      <c r="Q14" s="28">
        <v>57</v>
      </c>
    </row>
    <row r="15" spans="1:17" x14ac:dyDescent="0.25">
      <c r="A15" s="32">
        <v>9</v>
      </c>
      <c r="B15" s="23">
        <v>3484</v>
      </c>
      <c r="C15" s="23">
        <v>27</v>
      </c>
      <c r="D15" s="23">
        <v>2869</v>
      </c>
      <c r="E15" s="23">
        <v>615</v>
      </c>
      <c r="F15" s="23">
        <v>5244</v>
      </c>
      <c r="G15" s="23">
        <v>403</v>
      </c>
      <c r="H15" s="23">
        <v>5147</v>
      </c>
      <c r="I15" s="23">
        <v>97</v>
      </c>
      <c r="J15" s="23">
        <v>2422</v>
      </c>
      <c r="K15" s="23">
        <v>67</v>
      </c>
      <c r="L15" s="23">
        <v>2381</v>
      </c>
      <c r="M15" s="23">
        <v>41</v>
      </c>
      <c r="N15" s="23">
        <v>899</v>
      </c>
      <c r="O15" s="23">
        <v>16</v>
      </c>
      <c r="P15" s="23">
        <v>797</v>
      </c>
      <c r="Q15" s="28">
        <v>102</v>
      </c>
    </row>
    <row r="16" spans="1:17" x14ac:dyDescent="0.25">
      <c r="A16" s="32">
        <v>10</v>
      </c>
      <c r="B16" s="23">
        <v>3245</v>
      </c>
      <c r="C16" s="23">
        <v>23</v>
      </c>
      <c r="D16" s="23">
        <v>2974</v>
      </c>
      <c r="E16" s="23">
        <v>271</v>
      </c>
      <c r="F16" s="23">
        <v>4948</v>
      </c>
      <c r="G16" s="23">
        <v>400</v>
      </c>
      <c r="H16" s="23">
        <v>5189</v>
      </c>
      <c r="I16" s="23">
        <v>-241</v>
      </c>
      <c r="J16" s="23">
        <v>2351</v>
      </c>
      <c r="K16" s="23">
        <v>89</v>
      </c>
      <c r="L16" s="23">
        <v>2450</v>
      </c>
      <c r="M16" s="23">
        <v>-99</v>
      </c>
      <c r="N16" s="23">
        <v>866</v>
      </c>
      <c r="O16" s="23">
        <v>21</v>
      </c>
      <c r="P16" s="23">
        <v>828</v>
      </c>
      <c r="Q16" s="28">
        <v>38</v>
      </c>
    </row>
    <row r="17" spans="1:17" x14ac:dyDescent="0.25">
      <c r="A17" s="32">
        <v>11</v>
      </c>
      <c r="B17" s="23">
        <v>3575</v>
      </c>
      <c r="C17" s="23">
        <v>32</v>
      </c>
      <c r="D17" s="23">
        <v>2901</v>
      </c>
      <c r="E17" s="23">
        <v>674</v>
      </c>
      <c r="F17" s="23">
        <v>5222</v>
      </c>
      <c r="G17" s="23">
        <v>421</v>
      </c>
      <c r="H17" s="23">
        <v>4990</v>
      </c>
      <c r="I17" s="23">
        <v>232</v>
      </c>
      <c r="J17" s="23">
        <v>2482</v>
      </c>
      <c r="K17" s="23">
        <v>90</v>
      </c>
      <c r="L17" s="23">
        <v>2370</v>
      </c>
      <c r="M17" s="23">
        <v>112</v>
      </c>
      <c r="N17" s="23">
        <v>854</v>
      </c>
      <c r="O17" s="23">
        <v>16</v>
      </c>
      <c r="P17" s="23">
        <v>799</v>
      </c>
      <c r="Q17" s="28">
        <v>55</v>
      </c>
    </row>
    <row r="18" spans="1:17" x14ac:dyDescent="0.25">
      <c r="A18" s="32">
        <v>12</v>
      </c>
      <c r="B18" s="23">
        <v>3421</v>
      </c>
      <c r="C18" s="23">
        <v>33</v>
      </c>
      <c r="D18" s="23">
        <v>2797</v>
      </c>
      <c r="E18" s="23">
        <v>624</v>
      </c>
      <c r="F18" s="23">
        <v>5329</v>
      </c>
      <c r="G18" s="23">
        <v>458</v>
      </c>
      <c r="H18" s="23">
        <v>4841</v>
      </c>
      <c r="I18" s="23">
        <v>488</v>
      </c>
      <c r="J18" s="23">
        <v>2390</v>
      </c>
      <c r="K18" s="23">
        <v>114</v>
      </c>
      <c r="L18" s="23">
        <v>2256</v>
      </c>
      <c r="M18" s="23">
        <v>134</v>
      </c>
      <c r="N18" s="23">
        <v>912</v>
      </c>
      <c r="O18" s="23">
        <v>19</v>
      </c>
      <c r="P18" s="23">
        <v>797</v>
      </c>
      <c r="Q18" s="28">
        <v>115</v>
      </c>
    </row>
    <row r="19" spans="1:17" x14ac:dyDescent="0.25">
      <c r="A19" s="32">
        <v>13</v>
      </c>
      <c r="B19" s="23">
        <v>3282</v>
      </c>
      <c r="C19" s="23">
        <v>33</v>
      </c>
      <c r="D19" s="23">
        <v>2550</v>
      </c>
      <c r="E19" s="23">
        <v>732</v>
      </c>
      <c r="F19" s="23">
        <v>5139</v>
      </c>
      <c r="G19" s="23">
        <v>488</v>
      </c>
      <c r="H19" s="23">
        <v>4270</v>
      </c>
      <c r="I19" s="23">
        <v>869</v>
      </c>
      <c r="J19" s="23">
        <v>2316</v>
      </c>
      <c r="K19" s="23">
        <v>88</v>
      </c>
      <c r="L19" s="23">
        <v>2018</v>
      </c>
      <c r="M19" s="23">
        <v>298</v>
      </c>
      <c r="N19" s="23">
        <v>847</v>
      </c>
      <c r="O19" s="23">
        <v>25</v>
      </c>
      <c r="P19" s="23">
        <v>741</v>
      </c>
      <c r="Q19" s="28">
        <v>106</v>
      </c>
    </row>
    <row r="20" spans="1:17" x14ac:dyDescent="0.25">
      <c r="A20" s="32">
        <v>14</v>
      </c>
      <c r="B20" s="23">
        <v>2816</v>
      </c>
      <c r="C20" s="23">
        <v>32</v>
      </c>
      <c r="D20" s="23">
        <v>2608</v>
      </c>
      <c r="E20" s="23">
        <v>208</v>
      </c>
      <c r="F20" s="23">
        <v>4531</v>
      </c>
      <c r="G20" s="23">
        <v>392</v>
      </c>
      <c r="H20" s="23">
        <v>4638</v>
      </c>
      <c r="I20" s="23">
        <v>-107</v>
      </c>
      <c r="J20" s="23">
        <v>1950</v>
      </c>
      <c r="K20" s="23">
        <v>80</v>
      </c>
      <c r="L20" s="23">
        <v>2080</v>
      </c>
      <c r="M20" s="23">
        <v>-130</v>
      </c>
      <c r="N20" s="23">
        <v>792</v>
      </c>
      <c r="O20" s="23">
        <v>9</v>
      </c>
      <c r="P20" s="23">
        <v>804</v>
      </c>
      <c r="Q20" s="28">
        <v>-12</v>
      </c>
    </row>
    <row r="21" spans="1:17" x14ac:dyDescent="0.25">
      <c r="A21" s="32">
        <v>15</v>
      </c>
      <c r="B21" s="23">
        <v>2755</v>
      </c>
      <c r="C21" s="23">
        <v>36</v>
      </c>
      <c r="D21" s="23">
        <v>2677</v>
      </c>
      <c r="E21" s="23">
        <v>78</v>
      </c>
      <c r="F21" s="23">
        <v>4524</v>
      </c>
      <c r="G21" s="23">
        <v>350</v>
      </c>
      <c r="H21" s="23">
        <v>4722</v>
      </c>
      <c r="I21" s="23">
        <v>-198</v>
      </c>
      <c r="J21" s="23">
        <v>1943</v>
      </c>
      <c r="K21" s="23">
        <v>58</v>
      </c>
      <c r="L21" s="23">
        <v>2120</v>
      </c>
      <c r="M21" s="23">
        <v>-177</v>
      </c>
      <c r="N21" s="23">
        <v>756</v>
      </c>
      <c r="O21" s="23">
        <v>21</v>
      </c>
      <c r="P21" s="23">
        <v>771</v>
      </c>
      <c r="Q21" s="28">
        <v>-15</v>
      </c>
    </row>
    <row r="22" spans="1:17" x14ac:dyDescent="0.25">
      <c r="A22" s="32">
        <v>16</v>
      </c>
      <c r="B22" s="23">
        <v>3434</v>
      </c>
      <c r="C22" s="23">
        <v>34</v>
      </c>
      <c r="D22" s="23">
        <v>2663</v>
      </c>
      <c r="E22" s="23">
        <v>771</v>
      </c>
      <c r="F22" s="23">
        <v>5506</v>
      </c>
      <c r="G22" s="23">
        <v>423</v>
      </c>
      <c r="H22" s="23">
        <v>4582</v>
      </c>
      <c r="I22" s="23">
        <v>924</v>
      </c>
      <c r="J22" s="23">
        <v>2603</v>
      </c>
      <c r="K22" s="23">
        <v>63</v>
      </c>
      <c r="L22" s="23">
        <v>2078</v>
      </c>
      <c r="M22" s="23">
        <v>525</v>
      </c>
      <c r="N22" s="23">
        <v>877</v>
      </c>
      <c r="O22" s="23">
        <v>18</v>
      </c>
      <c r="P22" s="23">
        <v>785</v>
      </c>
      <c r="Q22" s="28">
        <v>92</v>
      </c>
    </row>
    <row r="23" spans="1:17" x14ac:dyDescent="0.25">
      <c r="A23" s="32">
        <v>17</v>
      </c>
      <c r="B23" s="23">
        <v>3417</v>
      </c>
      <c r="C23" s="23">
        <v>30</v>
      </c>
      <c r="D23" s="23">
        <v>2771</v>
      </c>
      <c r="E23" s="23">
        <v>646</v>
      </c>
      <c r="F23" s="23">
        <v>5406</v>
      </c>
      <c r="G23" s="23">
        <v>349</v>
      </c>
      <c r="H23" s="23">
        <v>4885</v>
      </c>
      <c r="I23" s="23">
        <v>521</v>
      </c>
      <c r="J23" s="23">
        <v>2395</v>
      </c>
      <c r="K23" s="23">
        <v>56</v>
      </c>
      <c r="L23" s="23">
        <v>2209</v>
      </c>
      <c r="M23" s="23">
        <v>186</v>
      </c>
      <c r="N23" s="23">
        <v>934</v>
      </c>
      <c r="O23" s="23">
        <v>24</v>
      </c>
      <c r="P23" s="23">
        <v>817</v>
      </c>
      <c r="Q23" s="28">
        <v>117</v>
      </c>
    </row>
    <row r="24" spans="1:17" x14ac:dyDescent="0.25">
      <c r="A24" s="32">
        <v>18</v>
      </c>
      <c r="B24" s="23">
        <v>2895</v>
      </c>
      <c r="C24" s="23">
        <v>15</v>
      </c>
      <c r="D24" s="23">
        <v>2486</v>
      </c>
      <c r="E24" s="23">
        <v>409</v>
      </c>
      <c r="F24" s="23">
        <v>4431</v>
      </c>
      <c r="G24" s="23">
        <v>253</v>
      </c>
      <c r="H24" s="23">
        <v>4447</v>
      </c>
      <c r="I24" s="23">
        <v>-16</v>
      </c>
      <c r="J24" s="23">
        <v>1998</v>
      </c>
      <c r="K24" s="23">
        <v>34</v>
      </c>
      <c r="L24" s="23">
        <v>1955</v>
      </c>
      <c r="M24" s="23">
        <v>43</v>
      </c>
      <c r="N24" s="23">
        <v>819</v>
      </c>
      <c r="O24" s="23">
        <v>8</v>
      </c>
      <c r="P24" s="23">
        <v>786</v>
      </c>
      <c r="Q24" s="28">
        <v>33</v>
      </c>
    </row>
    <row r="25" spans="1:17" x14ac:dyDescent="0.25">
      <c r="A25" s="32">
        <v>19</v>
      </c>
      <c r="B25" s="23">
        <v>2861</v>
      </c>
      <c r="C25" s="23">
        <v>23</v>
      </c>
      <c r="D25" s="23">
        <v>2684</v>
      </c>
      <c r="E25" s="23">
        <v>177</v>
      </c>
      <c r="F25" s="23">
        <v>4617</v>
      </c>
      <c r="G25" s="23">
        <v>250</v>
      </c>
      <c r="H25" s="23">
        <v>4593</v>
      </c>
      <c r="I25" s="23">
        <v>24</v>
      </c>
      <c r="J25" s="23">
        <v>2082</v>
      </c>
      <c r="K25" s="23">
        <v>33</v>
      </c>
      <c r="L25" s="23">
        <v>2060</v>
      </c>
      <c r="M25" s="23">
        <v>22</v>
      </c>
      <c r="N25" s="23">
        <v>807</v>
      </c>
      <c r="O25" s="23">
        <v>3</v>
      </c>
      <c r="P25" s="23">
        <v>782</v>
      </c>
      <c r="Q25" s="28">
        <v>25</v>
      </c>
    </row>
    <row r="26" spans="1:17" x14ac:dyDescent="0.25">
      <c r="A26" s="32">
        <v>20</v>
      </c>
      <c r="B26" s="23">
        <v>3375</v>
      </c>
      <c r="C26" s="23">
        <v>33</v>
      </c>
      <c r="D26" s="23">
        <v>2763</v>
      </c>
      <c r="E26" s="23">
        <v>612</v>
      </c>
      <c r="F26" s="23">
        <v>5059</v>
      </c>
      <c r="G26" s="23">
        <v>236</v>
      </c>
      <c r="H26" s="23">
        <v>4725</v>
      </c>
      <c r="I26" s="23">
        <v>334</v>
      </c>
      <c r="J26" s="23">
        <v>2326</v>
      </c>
      <c r="K26" s="23">
        <v>39</v>
      </c>
      <c r="L26" s="23">
        <v>2083</v>
      </c>
      <c r="M26" s="23">
        <v>243</v>
      </c>
      <c r="N26" s="23">
        <v>894</v>
      </c>
      <c r="O26" s="23">
        <v>14</v>
      </c>
      <c r="P26" s="23">
        <v>843</v>
      </c>
      <c r="Q26" s="28">
        <v>51</v>
      </c>
    </row>
    <row r="27" spans="1:17" x14ac:dyDescent="0.25">
      <c r="A27" s="32">
        <v>21</v>
      </c>
      <c r="B27" s="23">
        <v>3195</v>
      </c>
      <c r="C27" s="23">
        <v>18</v>
      </c>
      <c r="D27" s="23">
        <v>2723</v>
      </c>
      <c r="E27" s="23">
        <v>472</v>
      </c>
      <c r="F27" s="23">
        <v>4771</v>
      </c>
      <c r="G27" s="23">
        <v>213</v>
      </c>
      <c r="H27" s="23">
        <v>4489</v>
      </c>
      <c r="I27" s="23">
        <v>282</v>
      </c>
      <c r="J27" s="23">
        <v>2193</v>
      </c>
      <c r="K27" s="23">
        <v>26</v>
      </c>
      <c r="L27" s="23">
        <v>2056</v>
      </c>
      <c r="M27" s="23">
        <v>137</v>
      </c>
      <c r="N27" s="23">
        <v>952</v>
      </c>
      <c r="O27" s="23">
        <v>5</v>
      </c>
      <c r="P27" s="23">
        <v>822</v>
      </c>
      <c r="Q27" s="28">
        <v>130</v>
      </c>
    </row>
    <row r="28" spans="1:17" x14ac:dyDescent="0.25">
      <c r="A28" s="32">
        <v>22</v>
      </c>
      <c r="B28" s="23">
        <v>2515</v>
      </c>
      <c r="C28" s="23">
        <v>14</v>
      </c>
      <c r="D28" s="23">
        <v>2083</v>
      </c>
      <c r="E28" s="23">
        <v>432</v>
      </c>
      <c r="F28" s="23">
        <v>3989</v>
      </c>
      <c r="G28" s="23">
        <v>149</v>
      </c>
      <c r="H28" s="23">
        <v>3552</v>
      </c>
      <c r="I28" s="23">
        <v>437</v>
      </c>
      <c r="J28" s="23">
        <v>1616</v>
      </c>
      <c r="K28" s="23">
        <v>17</v>
      </c>
      <c r="L28" s="23">
        <v>1569</v>
      </c>
      <c r="M28" s="23">
        <v>47</v>
      </c>
      <c r="N28" s="23">
        <v>719</v>
      </c>
      <c r="O28" s="23">
        <v>9</v>
      </c>
      <c r="P28" s="23">
        <v>664</v>
      </c>
      <c r="Q28" s="28">
        <v>55</v>
      </c>
    </row>
    <row r="29" spans="1:17" x14ac:dyDescent="0.25">
      <c r="A29" s="32">
        <v>23</v>
      </c>
      <c r="B29" s="23">
        <v>2978</v>
      </c>
      <c r="C29" s="23">
        <v>12</v>
      </c>
      <c r="D29" s="23">
        <v>2767</v>
      </c>
      <c r="E29" s="23">
        <v>211</v>
      </c>
      <c r="F29" s="23">
        <v>4928</v>
      </c>
      <c r="G29" s="23">
        <v>171</v>
      </c>
      <c r="H29" s="23">
        <v>4661</v>
      </c>
      <c r="I29" s="23">
        <v>267</v>
      </c>
      <c r="J29" s="23">
        <v>2119</v>
      </c>
      <c r="K29" s="23">
        <v>20</v>
      </c>
      <c r="L29" s="23">
        <v>2084</v>
      </c>
      <c r="M29" s="23">
        <v>35</v>
      </c>
      <c r="N29" s="23">
        <v>915</v>
      </c>
      <c r="O29" s="23">
        <v>8</v>
      </c>
      <c r="P29" s="23">
        <v>850</v>
      </c>
      <c r="Q29" s="28">
        <v>65</v>
      </c>
    </row>
    <row r="30" spans="1:17" x14ac:dyDescent="0.25">
      <c r="A30" s="32">
        <v>24</v>
      </c>
      <c r="B30" s="23">
        <v>3052</v>
      </c>
      <c r="C30" s="23">
        <v>10</v>
      </c>
      <c r="D30" s="23">
        <v>2625</v>
      </c>
      <c r="E30" s="23">
        <v>427</v>
      </c>
      <c r="F30" s="23">
        <v>4650</v>
      </c>
      <c r="G30" s="23">
        <v>119</v>
      </c>
      <c r="H30" s="23">
        <v>4324</v>
      </c>
      <c r="I30" s="23">
        <v>326</v>
      </c>
      <c r="J30" s="23">
        <v>2108</v>
      </c>
      <c r="K30" s="23">
        <v>21</v>
      </c>
      <c r="L30" s="23">
        <v>1934</v>
      </c>
      <c r="M30" s="23">
        <v>174</v>
      </c>
      <c r="N30" s="23">
        <v>890</v>
      </c>
      <c r="O30" s="23">
        <v>6</v>
      </c>
      <c r="P30" s="23">
        <v>808</v>
      </c>
      <c r="Q30" s="28">
        <v>82</v>
      </c>
    </row>
    <row r="31" spans="1:17" x14ac:dyDescent="0.25">
      <c r="A31" s="32">
        <v>25</v>
      </c>
      <c r="B31" s="23">
        <v>3118</v>
      </c>
      <c r="C31" s="23">
        <v>14</v>
      </c>
      <c r="D31" s="23">
        <v>2567</v>
      </c>
      <c r="E31" s="23">
        <v>551</v>
      </c>
      <c r="F31" s="23">
        <v>4470</v>
      </c>
      <c r="G31" s="23">
        <v>123</v>
      </c>
      <c r="H31" s="23">
        <v>4256</v>
      </c>
      <c r="I31" s="23">
        <v>214</v>
      </c>
      <c r="J31" s="23">
        <v>2018</v>
      </c>
      <c r="K31" s="23">
        <v>13</v>
      </c>
      <c r="L31" s="23">
        <v>1974</v>
      </c>
      <c r="M31" s="23">
        <v>44</v>
      </c>
      <c r="N31" s="23">
        <v>866</v>
      </c>
      <c r="O31" s="23">
        <v>4</v>
      </c>
      <c r="P31" s="23">
        <v>794</v>
      </c>
      <c r="Q31" s="28">
        <v>72</v>
      </c>
    </row>
    <row r="32" spans="1:17" x14ac:dyDescent="0.25">
      <c r="A32" s="32">
        <v>26</v>
      </c>
      <c r="B32" s="23">
        <v>3161</v>
      </c>
      <c r="C32" s="23">
        <v>17</v>
      </c>
      <c r="D32" s="23">
        <v>2572</v>
      </c>
      <c r="E32" s="23">
        <v>589</v>
      </c>
      <c r="F32" s="23">
        <v>4448</v>
      </c>
      <c r="G32" s="23">
        <v>94</v>
      </c>
      <c r="H32" s="23">
        <v>4191</v>
      </c>
      <c r="I32" s="23">
        <v>257</v>
      </c>
      <c r="J32" s="23">
        <v>1976</v>
      </c>
      <c r="K32" s="23">
        <v>15</v>
      </c>
      <c r="L32" s="23">
        <v>1906</v>
      </c>
      <c r="M32" s="23">
        <v>70</v>
      </c>
      <c r="N32" s="23">
        <v>788</v>
      </c>
      <c r="O32" s="23">
        <v>3</v>
      </c>
      <c r="P32" s="23">
        <v>787</v>
      </c>
      <c r="Q32" s="28">
        <v>1</v>
      </c>
    </row>
    <row r="33" spans="1:17" x14ac:dyDescent="0.25">
      <c r="A33" s="32">
        <v>27</v>
      </c>
      <c r="B33" s="23">
        <v>2891</v>
      </c>
      <c r="C33" s="23">
        <v>11</v>
      </c>
      <c r="D33" s="23">
        <v>2604</v>
      </c>
      <c r="E33" s="23">
        <v>287</v>
      </c>
      <c r="F33" s="23">
        <v>4114</v>
      </c>
      <c r="G33" s="23">
        <v>66</v>
      </c>
      <c r="H33" s="23">
        <v>4187</v>
      </c>
      <c r="I33" s="23">
        <v>-73</v>
      </c>
      <c r="J33" s="23">
        <v>1916</v>
      </c>
      <c r="K33" s="23">
        <v>15</v>
      </c>
      <c r="L33" s="23">
        <v>1920</v>
      </c>
      <c r="M33" s="23">
        <v>-4</v>
      </c>
      <c r="N33" s="23">
        <v>815</v>
      </c>
      <c r="O33" s="23">
        <v>3</v>
      </c>
      <c r="P33" s="23">
        <v>813</v>
      </c>
      <c r="Q33" s="28">
        <v>2</v>
      </c>
    </row>
    <row r="34" spans="1:17" x14ac:dyDescent="0.25">
      <c r="A34" s="32">
        <v>28</v>
      </c>
      <c r="B34" s="23">
        <v>2898</v>
      </c>
      <c r="C34" s="23">
        <v>6</v>
      </c>
      <c r="D34" s="23">
        <v>2586</v>
      </c>
      <c r="E34" s="23">
        <v>312</v>
      </c>
      <c r="F34" s="23">
        <v>4375</v>
      </c>
      <c r="G34" s="23">
        <v>66</v>
      </c>
      <c r="H34" s="23">
        <v>4266</v>
      </c>
      <c r="I34" s="23">
        <v>109</v>
      </c>
      <c r="J34" s="23">
        <v>1883</v>
      </c>
      <c r="K34" s="23">
        <v>2</v>
      </c>
      <c r="L34" s="23">
        <v>1963</v>
      </c>
      <c r="M34" s="23">
        <v>-80</v>
      </c>
      <c r="N34" s="23">
        <v>874</v>
      </c>
      <c r="O34" s="23">
        <v>3</v>
      </c>
      <c r="P34" s="23">
        <v>812</v>
      </c>
      <c r="Q34" s="28">
        <v>62</v>
      </c>
    </row>
    <row r="35" spans="1:17" x14ac:dyDescent="0.25">
      <c r="A35" s="32">
        <v>29</v>
      </c>
      <c r="B35" s="23">
        <v>2946</v>
      </c>
      <c r="C35" s="23">
        <v>4</v>
      </c>
      <c r="D35" s="23">
        <v>2553</v>
      </c>
      <c r="E35" s="23">
        <v>393</v>
      </c>
      <c r="F35" s="23">
        <v>3976</v>
      </c>
      <c r="G35" s="23">
        <v>55</v>
      </c>
      <c r="H35" s="23">
        <v>4271</v>
      </c>
      <c r="I35" s="23">
        <v>-295</v>
      </c>
      <c r="J35" s="23">
        <v>1889</v>
      </c>
      <c r="K35" s="23">
        <v>7</v>
      </c>
      <c r="L35" s="23">
        <v>1989</v>
      </c>
      <c r="M35" s="23">
        <v>-100</v>
      </c>
      <c r="N35" s="23">
        <v>848</v>
      </c>
      <c r="O35" s="23">
        <v>4</v>
      </c>
      <c r="P35" s="23">
        <v>808</v>
      </c>
      <c r="Q35" s="28">
        <v>40</v>
      </c>
    </row>
    <row r="36" spans="1:17" x14ac:dyDescent="0.25">
      <c r="A36" s="32">
        <v>30</v>
      </c>
      <c r="B36" s="23">
        <v>2861</v>
      </c>
      <c r="C36" s="23">
        <v>3</v>
      </c>
      <c r="D36" s="23">
        <v>2590</v>
      </c>
      <c r="E36" s="23">
        <v>271</v>
      </c>
      <c r="F36" s="23">
        <v>4157</v>
      </c>
      <c r="G36" s="23">
        <v>51</v>
      </c>
      <c r="H36" s="23">
        <v>4264</v>
      </c>
      <c r="I36" s="23">
        <v>-107</v>
      </c>
      <c r="J36" s="23">
        <v>1812</v>
      </c>
      <c r="K36" s="23">
        <v>5</v>
      </c>
      <c r="L36" s="23">
        <v>2017</v>
      </c>
      <c r="M36" s="23">
        <v>-205</v>
      </c>
      <c r="N36" s="23">
        <v>854</v>
      </c>
      <c r="O36" s="23">
        <v>4</v>
      </c>
      <c r="P36" s="23">
        <v>799</v>
      </c>
      <c r="Q36" s="28">
        <v>55</v>
      </c>
    </row>
    <row r="37" spans="1:17" x14ac:dyDescent="0.25">
      <c r="A37" s="32">
        <v>31</v>
      </c>
      <c r="B37" s="23">
        <v>2994</v>
      </c>
      <c r="C37" s="23">
        <v>5</v>
      </c>
      <c r="D37" s="23">
        <v>2589</v>
      </c>
      <c r="E37" s="23">
        <v>405</v>
      </c>
      <c r="F37" s="23">
        <v>4189</v>
      </c>
      <c r="G37" s="23">
        <v>53</v>
      </c>
      <c r="H37" s="23">
        <v>4286</v>
      </c>
      <c r="I37" s="23">
        <v>-97</v>
      </c>
      <c r="J37" s="23">
        <v>1982</v>
      </c>
      <c r="K37" s="23">
        <v>5</v>
      </c>
      <c r="L37" s="23">
        <v>1980</v>
      </c>
      <c r="M37" s="23">
        <v>2</v>
      </c>
      <c r="N37" s="23">
        <v>873</v>
      </c>
      <c r="O37" s="23">
        <v>5</v>
      </c>
      <c r="P37" s="23">
        <v>796</v>
      </c>
      <c r="Q37" s="28">
        <v>77</v>
      </c>
    </row>
    <row r="38" spans="1:17" x14ac:dyDescent="0.25">
      <c r="A38" s="32">
        <v>32</v>
      </c>
      <c r="B38" s="23">
        <v>2994</v>
      </c>
      <c r="C38" s="23">
        <v>9</v>
      </c>
      <c r="D38" s="23">
        <v>2576</v>
      </c>
      <c r="E38" s="23">
        <v>418</v>
      </c>
      <c r="F38" s="23">
        <v>4199</v>
      </c>
      <c r="G38" s="23">
        <v>90</v>
      </c>
      <c r="H38" s="23">
        <v>4303</v>
      </c>
      <c r="I38" s="23">
        <v>-104</v>
      </c>
      <c r="J38" s="23">
        <v>1946</v>
      </c>
      <c r="K38" s="23">
        <v>6</v>
      </c>
      <c r="L38" s="23">
        <v>1988</v>
      </c>
      <c r="M38" s="23">
        <v>-42</v>
      </c>
      <c r="N38" s="23">
        <v>852</v>
      </c>
      <c r="O38" s="23">
        <v>3</v>
      </c>
      <c r="P38" s="23">
        <v>779</v>
      </c>
      <c r="Q38" s="28">
        <v>73</v>
      </c>
    </row>
    <row r="39" spans="1:17" x14ac:dyDescent="0.25">
      <c r="A39" s="32">
        <v>33</v>
      </c>
      <c r="B39" s="23">
        <v>2894</v>
      </c>
      <c r="C39" s="23">
        <v>7</v>
      </c>
      <c r="D39" s="23">
        <v>2533</v>
      </c>
      <c r="E39" s="23">
        <v>361</v>
      </c>
      <c r="F39" s="23">
        <v>4286</v>
      </c>
      <c r="G39" s="23">
        <v>101</v>
      </c>
      <c r="H39" s="23">
        <v>4322</v>
      </c>
      <c r="I39" s="23">
        <v>-36</v>
      </c>
      <c r="J39" s="23">
        <v>2035</v>
      </c>
      <c r="K39" s="23">
        <v>11</v>
      </c>
      <c r="L39" s="23">
        <v>1977</v>
      </c>
      <c r="M39" s="23">
        <v>58</v>
      </c>
      <c r="N39" s="23">
        <v>848</v>
      </c>
      <c r="O39" s="23">
        <v>6</v>
      </c>
      <c r="P39" s="23">
        <v>809</v>
      </c>
      <c r="Q39" s="28">
        <v>39</v>
      </c>
    </row>
    <row r="40" spans="1:17" x14ac:dyDescent="0.25">
      <c r="A40" s="32">
        <v>34</v>
      </c>
      <c r="B40" s="23">
        <v>2849</v>
      </c>
      <c r="C40" s="23">
        <v>12</v>
      </c>
      <c r="D40" s="23">
        <v>2533</v>
      </c>
      <c r="E40" s="23">
        <v>316</v>
      </c>
      <c r="F40" s="23">
        <v>4324</v>
      </c>
      <c r="G40" s="23">
        <v>171</v>
      </c>
      <c r="H40" s="23">
        <v>4327</v>
      </c>
      <c r="I40" s="23">
        <v>-3</v>
      </c>
      <c r="J40" s="23">
        <v>2028</v>
      </c>
      <c r="K40" s="23">
        <v>16</v>
      </c>
      <c r="L40" s="23">
        <v>2056</v>
      </c>
      <c r="M40" s="23">
        <v>-28</v>
      </c>
      <c r="N40" s="23">
        <v>885</v>
      </c>
      <c r="O40" s="23">
        <v>4</v>
      </c>
      <c r="P40" s="23">
        <v>794</v>
      </c>
      <c r="Q40" s="28">
        <v>91</v>
      </c>
    </row>
    <row r="41" spans="1:17" x14ac:dyDescent="0.25">
      <c r="A41" s="32">
        <v>35</v>
      </c>
      <c r="B41" s="23">
        <v>2328</v>
      </c>
      <c r="C41" s="23">
        <v>8</v>
      </c>
      <c r="D41" s="23">
        <v>2184</v>
      </c>
      <c r="E41" s="23">
        <v>144</v>
      </c>
      <c r="F41" s="23">
        <v>3590</v>
      </c>
      <c r="G41" s="23">
        <v>130</v>
      </c>
      <c r="H41" s="23">
        <v>3744</v>
      </c>
      <c r="I41" s="23">
        <v>-154</v>
      </c>
      <c r="J41" s="23">
        <v>1775</v>
      </c>
      <c r="K41" s="23">
        <v>11</v>
      </c>
      <c r="L41" s="23">
        <v>1741</v>
      </c>
      <c r="M41" s="23">
        <v>34</v>
      </c>
      <c r="N41" s="23">
        <v>748</v>
      </c>
      <c r="O41" s="23">
        <v>6</v>
      </c>
      <c r="P41" s="23">
        <v>712</v>
      </c>
      <c r="Q41" s="28">
        <v>36</v>
      </c>
    </row>
    <row r="42" spans="1:17" x14ac:dyDescent="0.25">
      <c r="A42" s="10"/>
      <c r="B42" s="10"/>
      <c r="C42" s="10"/>
      <c r="D42" s="10"/>
      <c r="E42" s="10"/>
      <c r="F42" s="10"/>
      <c r="G42" s="10"/>
      <c r="H42" s="10"/>
      <c r="I42" s="10"/>
      <c r="J42" s="10"/>
      <c r="K42" s="10"/>
      <c r="L42" s="10"/>
      <c r="M42" s="10"/>
      <c r="N42" s="10"/>
      <c r="O42" s="10"/>
      <c r="P42" s="10"/>
      <c r="Q42" s="10"/>
    </row>
  </sheetData>
  <sheetProtection sheet="1" formatCells="0" formatColumns="0"/>
  <pageMargins left="0.7" right="0.7" top="0.75" bottom="0.75" header="0.3" footer="0.3"/>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35"/>
  <sheetViews>
    <sheetView showGridLines="0" workbookViewId="0"/>
  </sheetViews>
  <sheetFormatPr defaultColWidth="10.90625" defaultRowHeight="15" x14ac:dyDescent="0.25"/>
  <cols>
    <col min="1" max="1" width="14.1796875" customWidth="1"/>
    <col min="2" max="23" width="13.1796875" customWidth="1"/>
  </cols>
  <sheetData>
    <row r="1" spans="1:8" ht="17.399999999999999" x14ac:dyDescent="0.3">
      <c r="A1" s="1" t="s">
        <v>226</v>
      </c>
    </row>
    <row r="2" spans="1:8" ht="17.399999999999999" x14ac:dyDescent="0.3">
      <c r="A2" s="1" t="s">
        <v>259</v>
      </c>
    </row>
    <row r="3" spans="1:8" x14ac:dyDescent="0.25">
      <c r="A3" t="s">
        <v>45</v>
      </c>
    </row>
    <row r="4" spans="1:8" x14ac:dyDescent="0.25">
      <c r="A4" t="s">
        <v>114</v>
      </c>
    </row>
    <row r="5" spans="1:8" x14ac:dyDescent="0.25">
      <c r="A5" t="s">
        <v>227</v>
      </c>
    </row>
    <row r="6" spans="1:8" x14ac:dyDescent="0.25">
      <c r="A6" t="s">
        <v>115</v>
      </c>
    </row>
    <row r="7" spans="1:8" ht="46.8" x14ac:dyDescent="0.25">
      <c r="A7" s="12" t="s">
        <v>116</v>
      </c>
      <c r="B7" s="11" t="s">
        <v>117</v>
      </c>
      <c r="C7" s="21" t="s">
        <v>228</v>
      </c>
      <c r="D7" s="21" t="s">
        <v>229</v>
      </c>
      <c r="E7" s="21" t="s">
        <v>230</v>
      </c>
      <c r="F7" s="21" t="s">
        <v>231</v>
      </c>
      <c r="G7" s="21" t="s">
        <v>232</v>
      </c>
      <c r="H7" s="24" t="s">
        <v>233</v>
      </c>
    </row>
    <row r="8" spans="1:8" x14ac:dyDescent="0.25">
      <c r="A8" s="19">
        <v>9</v>
      </c>
      <c r="B8" s="25">
        <v>44988</v>
      </c>
      <c r="C8" s="22">
        <v>11106</v>
      </c>
      <c r="D8" s="22">
        <v>11172</v>
      </c>
      <c r="E8" s="22">
        <v>11054</v>
      </c>
      <c r="F8" s="22">
        <v>11292</v>
      </c>
      <c r="G8" s="22">
        <v>10465</v>
      </c>
      <c r="H8" s="26">
        <v>11090</v>
      </c>
    </row>
    <row r="9" spans="1:8" x14ac:dyDescent="0.25">
      <c r="A9" s="20">
        <v>10</v>
      </c>
      <c r="B9" s="27">
        <v>44995</v>
      </c>
      <c r="C9" s="23">
        <v>11826</v>
      </c>
      <c r="D9" s="23">
        <v>11900</v>
      </c>
      <c r="E9" s="23">
        <v>11768</v>
      </c>
      <c r="F9" s="23">
        <v>11204</v>
      </c>
      <c r="G9" s="23">
        <v>10373</v>
      </c>
      <c r="H9" s="28">
        <v>11074</v>
      </c>
    </row>
    <row r="10" spans="1:8" x14ac:dyDescent="0.25">
      <c r="A10" s="20">
        <v>11</v>
      </c>
      <c r="B10" s="27">
        <v>45002</v>
      </c>
      <c r="C10" s="23">
        <v>12119</v>
      </c>
      <c r="D10" s="23">
        <v>12198</v>
      </c>
      <c r="E10" s="23">
        <v>12057</v>
      </c>
      <c r="F10" s="23">
        <v>10871</v>
      </c>
      <c r="G10" s="23">
        <v>9907</v>
      </c>
      <c r="H10" s="28">
        <v>10982</v>
      </c>
    </row>
    <row r="11" spans="1:8" x14ac:dyDescent="0.25">
      <c r="A11" s="20">
        <v>12</v>
      </c>
      <c r="B11" s="27">
        <v>45009</v>
      </c>
      <c r="C11" s="23">
        <v>11494</v>
      </c>
      <c r="D11" s="23">
        <v>11571</v>
      </c>
      <c r="E11" s="23">
        <v>11433</v>
      </c>
      <c r="F11" s="23">
        <v>10571</v>
      </c>
      <c r="G11" s="23">
        <v>9694</v>
      </c>
      <c r="H11" s="28">
        <v>10991</v>
      </c>
    </row>
    <row r="12" spans="1:8" x14ac:dyDescent="0.25">
      <c r="A12" s="20">
        <v>13</v>
      </c>
      <c r="B12" s="27">
        <v>45016</v>
      </c>
      <c r="C12" s="23">
        <v>11266</v>
      </c>
      <c r="D12" s="23">
        <v>11347</v>
      </c>
      <c r="E12" s="23">
        <v>11201</v>
      </c>
      <c r="F12" s="23">
        <v>10424</v>
      </c>
      <c r="G12" s="23">
        <v>9411</v>
      </c>
      <c r="H12" s="28">
        <v>11263</v>
      </c>
    </row>
    <row r="13" spans="1:8" x14ac:dyDescent="0.25">
      <c r="A13" s="20">
        <v>14</v>
      </c>
      <c r="B13" s="27">
        <v>45023</v>
      </c>
      <c r="C13" s="23">
        <v>10806</v>
      </c>
      <c r="D13" s="23">
        <v>10887</v>
      </c>
      <c r="E13" s="23">
        <v>10742</v>
      </c>
      <c r="F13" s="23">
        <v>10327</v>
      </c>
      <c r="G13" s="23">
        <v>9366</v>
      </c>
      <c r="H13" s="28">
        <v>11942</v>
      </c>
    </row>
    <row r="14" spans="1:8" x14ac:dyDescent="0.25">
      <c r="A14" s="20">
        <v>15</v>
      </c>
      <c r="B14" s="27">
        <v>45030</v>
      </c>
      <c r="C14" s="23">
        <v>10811</v>
      </c>
      <c r="D14" s="23">
        <v>10893</v>
      </c>
      <c r="E14" s="23">
        <v>10745</v>
      </c>
      <c r="F14" s="23">
        <v>10222</v>
      </c>
      <c r="G14" s="23">
        <v>9432</v>
      </c>
      <c r="H14" s="28">
        <v>11783</v>
      </c>
    </row>
    <row r="15" spans="1:8" x14ac:dyDescent="0.25">
      <c r="A15" s="20">
        <v>16</v>
      </c>
      <c r="B15" s="27">
        <v>45037</v>
      </c>
      <c r="C15" s="23">
        <v>10843</v>
      </c>
      <c r="D15" s="23">
        <v>10930</v>
      </c>
      <c r="E15" s="23">
        <v>10772</v>
      </c>
      <c r="F15" s="23">
        <v>10049</v>
      </c>
      <c r="G15" s="23">
        <v>9523</v>
      </c>
      <c r="H15" s="28">
        <v>10895</v>
      </c>
    </row>
    <row r="16" spans="1:8" x14ac:dyDescent="0.25">
      <c r="A16" s="20">
        <v>17</v>
      </c>
      <c r="B16" s="27">
        <v>45044</v>
      </c>
      <c r="C16" s="23">
        <v>10670</v>
      </c>
      <c r="D16" s="23">
        <v>10760</v>
      </c>
      <c r="E16" s="23">
        <v>10598</v>
      </c>
      <c r="F16" s="23">
        <v>9794</v>
      </c>
      <c r="G16" s="23">
        <v>9168</v>
      </c>
      <c r="H16" s="28">
        <v>10815</v>
      </c>
    </row>
    <row r="17" spans="1:8" x14ac:dyDescent="0.25">
      <c r="A17" s="20">
        <v>18</v>
      </c>
      <c r="B17" s="27">
        <v>45051</v>
      </c>
      <c r="C17" s="23">
        <v>10576</v>
      </c>
      <c r="D17" s="23">
        <v>10666</v>
      </c>
      <c r="E17" s="23">
        <v>10502</v>
      </c>
      <c r="F17" s="23">
        <v>9713</v>
      </c>
      <c r="G17" s="23">
        <v>9483</v>
      </c>
      <c r="H17" s="28">
        <v>10825</v>
      </c>
    </row>
    <row r="18" spans="1:8" x14ac:dyDescent="0.25">
      <c r="A18" s="20">
        <v>19</v>
      </c>
      <c r="B18" s="27">
        <v>45058</v>
      </c>
      <c r="C18" s="23">
        <v>10165</v>
      </c>
      <c r="D18" s="23">
        <v>10254</v>
      </c>
      <c r="E18" s="23">
        <v>10092</v>
      </c>
      <c r="F18" s="23">
        <v>9698</v>
      </c>
      <c r="G18" s="23">
        <v>9456</v>
      </c>
      <c r="H18" s="28">
        <v>10512</v>
      </c>
    </row>
    <row r="19" spans="1:8" x14ac:dyDescent="0.25">
      <c r="A19" s="20">
        <v>20</v>
      </c>
      <c r="B19" s="27">
        <v>45065</v>
      </c>
      <c r="C19" s="23">
        <v>9848</v>
      </c>
      <c r="D19" s="23">
        <v>9937</v>
      </c>
      <c r="E19" s="23">
        <v>9774</v>
      </c>
      <c r="F19" s="23">
        <v>9500</v>
      </c>
      <c r="G19" s="23">
        <v>9323</v>
      </c>
      <c r="H19" s="28">
        <v>10237</v>
      </c>
    </row>
    <row r="20" spans="1:8" x14ac:dyDescent="0.25">
      <c r="A20" s="20">
        <v>21</v>
      </c>
      <c r="B20" s="27">
        <v>45072</v>
      </c>
      <c r="C20" s="23">
        <v>9909</v>
      </c>
      <c r="D20" s="23">
        <v>9998</v>
      </c>
      <c r="E20" s="23">
        <v>9834</v>
      </c>
      <c r="F20" s="23">
        <v>9458</v>
      </c>
      <c r="G20" s="23">
        <v>9186</v>
      </c>
      <c r="H20" s="28">
        <v>9919</v>
      </c>
    </row>
    <row r="21" spans="1:8" x14ac:dyDescent="0.25">
      <c r="A21" s="20">
        <v>22</v>
      </c>
      <c r="B21" s="27">
        <v>45079</v>
      </c>
      <c r="C21" s="23">
        <v>9822</v>
      </c>
      <c r="D21" s="23">
        <v>9914</v>
      </c>
      <c r="E21" s="23">
        <v>9745</v>
      </c>
      <c r="F21" s="23">
        <v>9173</v>
      </c>
      <c r="G21" s="23">
        <v>9360</v>
      </c>
      <c r="H21" s="28">
        <v>9863</v>
      </c>
    </row>
    <row r="22" spans="1:8" x14ac:dyDescent="0.25">
      <c r="A22" s="20">
        <v>23</v>
      </c>
      <c r="B22" s="27">
        <v>45086</v>
      </c>
      <c r="C22" s="23">
        <v>9879</v>
      </c>
      <c r="D22" s="23">
        <v>9974</v>
      </c>
      <c r="E22" s="23">
        <v>9799</v>
      </c>
      <c r="F22" s="23">
        <v>9180</v>
      </c>
      <c r="G22" s="23">
        <v>9207</v>
      </c>
      <c r="H22" s="28">
        <v>10196</v>
      </c>
    </row>
    <row r="23" spans="1:8" x14ac:dyDescent="0.25">
      <c r="A23" s="20">
        <v>24</v>
      </c>
      <c r="B23" s="27">
        <v>45093</v>
      </c>
      <c r="C23" s="23">
        <v>10445</v>
      </c>
      <c r="D23" s="23">
        <v>10549</v>
      </c>
      <c r="E23" s="23">
        <v>10357</v>
      </c>
      <c r="F23" s="23">
        <v>9139</v>
      </c>
      <c r="G23" s="23">
        <v>9136</v>
      </c>
      <c r="H23" s="28">
        <v>10440</v>
      </c>
    </row>
    <row r="24" spans="1:8" x14ac:dyDescent="0.25">
      <c r="A24" s="20">
        <v>25</v>
      </c>
      <c r="B24" s="27">
        <v>45100</v>
      </c>
      <c r="C24" s="23">
        <v>9672</v>
      </c>
      <c r="D24" s="23">
        <v>9772</v>
      </c>
      <c r="E24" s="23">
        <v>9588</v>
      </c>
      <c r="F24" s="23">
        <v>9213</v>
      </c>
      <c r="G24" s="23">
        <v>9090</v>
      </c>
      <c r="H24" s="28">
        <v>10108</v>
      </c>
    </row>
    <row r="25" spans="1:8" x14ac:dyDescent="0.25">
      <c r="A25" s="20">
        <v>26</v>
      </c>
      <c r="B25" s="27">
        <v>45107</v>
      </c>
      <c r="C25" s="23">
        <v>9384</v>
      </c>
      <c r="D25" s="23">
        <v>9484</v>
      </c>
      <c r="E25" s="23">
        <v>9300</v>
      </c>
      <c r="F25" s="23">
        <v>9015</v>
      </c>
      <c r="G25" s="23">
        <v>9513</v>
      </c>
      <c r="H25" s="28">
        <v>10004</v>
      </c>
    </row>
    <row r="26" spans="1:8" x14ac:dyDescent="0.25">
      <c r="A26" s="20">
        <v>27</v>
      </c>
      <c r="B26" s="27">
        <v>45114</v>
      </c>
      <c r="C26" s="23">
        <v>9305</v>
      </c>
      <c r="D26" s="23">
        <v>9408</v>
      </c>
      <c r="E26" s="23">
        <v>9217</v>
      </c>
      <c r="F26" s="23">
        <v>9239</v>
      </c>
      <c r="G26" s="23">
        <v>9683</v>
      </c>
      <c r="H26" s="28">
        <v>10319</v>
      </c>
    </row>
    <row r="27" spans="1:8" x14ac:dyDescent="0.25">
      <c r="A27" s="20">
        <v>28</v>
      </c>
      <c r="B27" s="27">
        <v>45121</v>
      </c>
      <c r="C27" s="23">
        <v>9296</v>
      </c>
      <c r="D27" s="23">
        <v>9402</v>
      </c>
      <c r="E27" s="23">
        <v>9206</v>
      </c>
      <c r="F27" s="23">
        <v>8858</v>
      </c>
      <c r="G27" s="23">
        <v>9573</v>
      </c>
      <c r="H27" s="28">
        <v>10797</v>
      </c>
    </row>
    <row r="28" spans="1:8" x14ac:dyDescent="0.25">
      <c r="A28" s="20">
        <v>29</v>
      </c>
      <c r="B28" s="27">
        <v>45128</v>
      </c>
      <c r="C28" s="23">
        <v>9109</v>
      </c>
      <c r="D28" s="23">
        <v>9216</v>
      </c>
      <c r="E28" s="23">
        <v>9018</v>
      </c>
      <c r="F28" s="23">
        <v>9078</v>
      </c>
      <c r="G28" s="23">
        <v>11105</v>
      </c>
      <c r="H28" s="28">
        <v>11888</v>
      </c>
    </row>
    <row r="29" spans="1:8" x14ac:dyDescent="0.25">
      <c r="A29" s="20">
        <v>30</v>
      </c>
      <c r="B29" s="27">
        <v>45135</v>
      </c>
      <c r="C29" s="23">
        <v>9605</v>
      </c>
      <c r="D29" s="23">
        <v>9720</v>
      </c>
      <c r="E29" s="23">
        <v>9508</v>
      </c>
      <c r="F29" s="23">
        <v>9080</v>
      </c>
      <c r="G29" s="23">
        <v>9946</v>
      </c>
      <c r="H29" s="28">
        <v>10160</v>
      </c>
    </row>
    <row r="30" spans="1:8" x14ac:dyDescent="0.25">
      <c r="A30" s="20">
        <v>31</v>
      </c>
      <c r="B30" s="27">
        <v>45142</v>
      </c>
      <c r="C30" s="23">
        <v>9584</v>
      </c>
      <c r="D30" s="23">
        <v>9701</v>
      </c>
      <c r="E30" s="23">
        <v>9483</v>
      </c>
      <c r="F30" s="23">
        <v>8764</v>
      </c>
      <c r="G30" s="23">
        <v>9960</v>
      </c>
      <c r="H30" s="28">
        <v>9964</v>
      </c>
    </row>
    <row r="31" spans="1:8" x14ac:dyDescent="0.25">
      <c r="A31" s="20">
        <v>32</v>
      </c>
      <c r="B31" s="27">
        <v>45149</v>
      </c>
      <c r="C31" s="23">
        <v>9889</v>
      </c>
      <c r="D31" s="23">
        <v>10013</v>
      </c>
      <c r="E31" s="23">
        <v>9782</v>
      </c>
      <c r="F31" s="23">
        <v>9036</v>
      </c>
      <c r="G31" s="23">
        <v>9961</v>
      </c>
      <c r="H31" s="28">
        <v>10729</v>
      </c>
    </row>
    <row r="32" spans="1:8" x14ac:dyDescent="0.25">
      <c r="A32" s="20">
        <v>33</v>
      </c>
      <c r="B32" s="27">
        <v>45156</v>
      </c>
      <c r="C32" s="23">
        <v>9466</v>
      </c>
      <c r="D32" s="23">
        <v>9612</v>
      </c>
      <c r="E32" s="23">
        <v>9341</v>
      </c>
      <c r="F32" s="23">
        <v>8998</v>
      </c>
      <c r="G32" s="23">
        <v>10015</v>
      </c>
      <c r="H32" s="28">
        <v>10964</v>
      </c>
    </row>
    <row r="33" spans="1:8" x14ac:dyDescent="0.25">
      <c r="A33" s="20">
        <v>34</v>
      </c>
      <c r="B33" s="27">
        <v>45163</v>
      </c>
      <c r="C33" s="23">
        <v>8945</v>
      </c>
      <c r="D33" s="23">
        <v>9395</v>
      </c>
      <c r="E33" s="23">
        <v>8581</v>
      </c>
      <c r="F33" s="23">
        <v>8970</v>
      </c>
      <c r="G33" s="23">
        <v>10006</v>
      </c>
      <c r="H33" s="28">
        <v>9798</v>
      </c>
    </row>
    <row r="34" spans="1:8" x14ac:dyDescent="0.25">
      <c r="A34" s="20">
        <v>35</v>
      </c>
      <c r="B34" s="27">
        <v>45170</v>
      </c>
      <c r="C34" s="23">
        <v>7756</v>
      </c>
      <c r="D34" s="23">
        <v>8906</v>
      </c>
      <c r="E34" s="23">
        <v>6810</v>
      </c>
      <c r="F34" s="23">
        <v>8919</v>
      </c>
      <c r="G34" s="23">
        <v>10215</v>
      </c>
      <c r="H34" s="28">
        <v>9674</v>
      </c>
    </row>
    <row r="35" spans="1:8" x14ac:dyDescent="0.25">
      <c r="A35" s="10"/>
      <c r="B35" s="10"/>
      <c r="C35" s="10"/>
      <c r="D35" s="10"/>
      <c r="E35" s="10"/>
      <c r="F35" s="10"/>
      <c r="G35" s="10"/>
      <c r="H35" s="10"/>
    </row>
  </sheetData>
  <sheetProtection formatCells="0" formatColumns="0"/>
  <pageMargins left="0.7" right="0.7" top="0.75" bottom="0.75" header="0.3" footer="0.3"/>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81"/>
  <sheetViews>
    <sheetView showGridLines="0" workbookViewId="0"/>
  </sheetViews>
  <sheetFormatPr defaultColWidth="10.90625" defaultRowHeight="15" x14ac:dyDescent="0.25"/>
  <cols>
    <col min="1" max="1" width="14.1796875" customWidth="1"/>
    <col min="2" max="23" width="13.1796875" customWidth="1"/>
  </cols>
  <sheetData>
    <row r="1" spans="1:12" ht="17.399999999999999" x14ac:dyDescent="0.3">
      <c r="A1" s="1" t="s">
        <v>234</v>
      </c>
    </row>
    <row r="2" spans="1:12" ht="17.399999999999999" x14ac:dyDescent="0.3">
      <c r="A2" s="1" t="s">
        <v>235</v>
      </c>
    </row>
    <row r="3" spans="1:12" x14ac:dyDescent="0.25">
      <c r="A3" t="s">
        <v>236</v>
      </c>
    </row>
    <row r="4" spans="1:12" x14ac:dyDescent="0.25">
      <c r="A4" t="s">
        <v>114</v>
      </c>
    </row>
    <row r="5" spans="1:12" x14ac:dyDescent="0.25">
      <c r="A5" t="s">
        <v>115</v>
      </c>
    </row>
    <row r="6" spans="1:12" ht="15.6" x14ac:dyDescent="0.3">
      <c r="A6" s="3" t="s">
        <v>237</v>
      </c>
    </row>
    <row r="7" spans="1:12" ht="31.2" x14ac:dyDescent="0.25">
      <c r="A7" s="12" t="s">
        <v>116</v>
      </c>
      <c r="B7" s="11" t="s">
        <v>131</v>
      </c>
      <c r="C7" s="21" t="s">
        <v>196</v>
      </c>
      <c r="D7" s="21" t="s">
        <v>197</v>
      </c>
      <c r="E7" s="21" t="s">
        <v>198</v>
      </c>
      <c r="F7" s="21" t="s">
        <v>199</v>
      </c>
      <c r="G7" s="21" t="s">
        <v>200</v>
      </c>
      <c r="H7" s="21" t="s">
        <v>201</v>
      </c>
      <c r="I7" s="21" t="s">
        <v>202</v>
      </c>
      <c r="J7" s="21" t="s">
        <v>203</v>
      </c>
      <c r="K7" s="21" t="s">
        <v>204</v>
      </c>
      <c r="L7" s="24" t="s">
        <v>178</v>
      </c>
    </row>
    <row r="8" spans="1:12" x14ac:dyDescent="0.25">
      <c r="A8" s="19">
        <v>1</v>
      </c>
      <c r="B8" s="25">
        <v>44932</v>
      </c>
      <c r="C8" s="22">
        <v>788</v>
      </c>
      <c r="D8" s="22">
        <v>2177</v>
      </c>
      <c r="E8" s="22">
        <v>1555</v>
      </c>
      <c r="F8" s="22">
        <v>1346</v>
      </c>
      <c r="G8" s="22">
        <v>1529</v>
      </c>
      <c r="H8" s="22">
        <v>1564</v>
      </c>
      <c r="I8" s="22">
        <v>1324</v>
      </c>
      <c r="J8" s="22">
        <v>2120</v>
      </c>
      <c r="K8" s="22">
        <v>1573</v>
      </c>
      <c r="L8" s="26">
        <v>979</v>
      </c>
    </row>
    <row r="9" spans="1:12" x14ac:dyDescent="0.25">
      <c r="A9" s="20">
        <v>2</v>
      </c>
      <c r="B9" s="27">
        <v>44939</v>
      </c>
      <c r="C9" s="23">
        <v>947</v>
      </c>
      <c r="D9" s="23">
        <v>2330</v>
      </c>
      <c r="E9" s="23">
        <v>1771</v>
      </c>
      <c r="F9" s="23">
        <v>1399</v>
      </c>
      <c r="G9" s="23">
        <v>1811</v>
      </c>
      <c r="H9" s="23">
        <v>1839</v>
      </c>
      <c r="I9" s="23">
        <v>1491</v>
      </c>
      <c r="J9" s="23">
        <v>2696</v>
      </c>
      <c r="K9" s="23">
        <v>1874</v>
      </c>
      <c r="L9" s="28">
        <v>1183</v>
      </c>
    </row>
    <row r="10" spans="1:12" x14ac:dyDescent="0.25">
      <c r="A10" s="20">
        <v>3</v>
      </c>
      <c r="B10" s="27">
        <v>44946</v>
      </c>
      <c r="C10" s="23">
        <v>837</v>
      </c>
      <c r="D10" s="23">
        <v>2224</v>
      </c>
      <c r="E10" s="23">
        <v>1557</v>
      </c>
      <c r="F10" s="23">
        <v>1368</v>
      </c>
      <c r="G10" s="23">
        <v>1719</v>
      </c>
      <c r="H10" s="23">
        <v>1690</v>
      </c>
      <c r="I10" s="23">
        <v>1324</v>
      </c>
      <c r="J10" s="23">
        <v>2394</v>
      </c>
      <c r="K10" s="23">
        <v>1685</v>
      </c>
      <c r="L10" s="28">
        <v>974</v>
      </c>
    </row>
    <row r="11" spans="1:12" x14ac:dyDescent="0.25">
      <c r="A11" s="20">
        <v>4</v>
      </c>
      <c r="B11" s="27">
        <v>44953</v>
      </c>
      <c r="C11" s="23">
        <v>727</v>
      </c>
      <c r="D11" s="23">
        <v>1937</v>
      </c>
      <c r="E11" s="23">
        <v>1348</v>
      </c>
      <c r="F11" s="23">
        <v>1223</v>
      </c>
      <c r="G11" s="23">
        <v>1554</v>
      </c>
      <c r="H11" s="23">
        <v>1519</v>
      </c>
      <c r="I11" s="23">
        <v>1184</v>
      </c>
      <c r="J11" s="23">
        <v>2237</v>
      </c>
      <c r="K11" s="23">
        <v>1561</v>
      </c>
      <c r="L11" s="28">
        <v>816</v>
      </c>
    </row>
    <row r="12" spans="1:12" x14ac:dyDescent="0.25">
      <c r="A12" s="20">
        <v>5</v>
      </c>
      <c r="B12" s="27">
        <v>44960</v>
      </c>
      <c r="C12" s="23">
        <v>664</v>
      </c>
      <c r="D12" s="23">
        <v>1789</v>
      </c>
      <c r="E12" s="23">
        <v>1223</v>
      </c>
      <c r="F12" s="23">
        <v>1229</v>
      </c>
      <c r="G12" s="23">
        <v>1472</v>
      </c>
      <c r="H12" s="23">
        <v>1500</v>
      </c>
      <c r="I12" s="23">
        <v>1158</v>
      </c>
      <c r="J12" s="23">
        <v>2129</v>
      </c>
      <c r="K12" s="23">
        <v>1416</v>
      </c>
      <c r="L12" s="28">
        <v>807</v>
      </c>
    </row>
    <row r="13" spans="1:12" x14ac:dyDescent="0.25">
      <c r="A13" s="20">
        <v>6</v>
      </c>
      <c r="B13" s="27">
        <v>44967</v>
      </c>
      <c r="C13" s="23">
        <v>654</v>
      </c>
      <c r="D13" s="23">
        <v>1644</v>
      </c>
      <c r="E13" s="23">
        <v>1250</v>
      </c>
      <c r="F13" s="23">
        <v>1048</v>
      </c>
      <c r="G13" s="23">
        <v>1413</v>
      </c>
      <c r="H13" s="23">
        <v>1379</v>
      </c>
      <c r="I13" s="23">
        <v>1094</v>
      </c>
      <c r="J13" s="23">
        <v>2014</v>
      </c>
      <c r="K13" s="23">
        <v>1399</v>
      </c>
      <c r="L13" s="28">
        <v>755</v>
      </c>
    </row>
    <row r="14" spans="1:12" x14ac:dyDescent="0.25">
      <c r="A14" s="20">
        <v>7</v>
      </c>
      <c r="B14" s="27">
        <v>44974</v>
      </c>
      <c r="C14" s="23">
        <v>645</v>
      </c>
      <c r="D14" s="23">
        <v>1633</v>
      </c>
      <c r="E14" s="23">
        <v>1084</v>
      </c>
      <c r="F14" s="23">
        <v>1062</v>
      </c>
      <c r="G14" s="23">
        <v>1251</v>
      </c>
      <c r="H14" s="23">
        <v>1312</v>
      </c>
      <c r="I14" s="23">
        <v>1128</v>
      </c>
      <c r="J14" s="23">
        <v>1877</v>
      </c>
      <c r="K14" s="23">
        <v>1289</v>
      </c>
      <c r="L14" s="28">
        <v>720</v>
      </c>
    </row>
    <row r="15" spans="1:12" x14ac:dyDescent="0.25">
      <c r="A15" s="20">
        <v>8</v>
      </c>
      <c r="B15" s="27">
        <v>44981</v>
      </c>
      <c r="C15" s="23">
        <v>614</v>
      </c>
      <c r="D15" s="23">
        <v>1566</v>
      </c>
      <c r="E15" s="23">
        <v>1155</v>
      </c>
      <c r="F15" s="23">
        <v>1034</v>
      </c>
      <c r="G15" s="23">
        <v>1180</v>
      </c>
      <c r="H15" s="23">
        <v>1330</v>
      </c>
      <c r="I15" s="23">
        <v>1098</v>
      </c>
      <c r="J15" s="23">
        <v>1841</v>
      </c>
      <c r="K15" s="23">
        <v>1404</v>
      </c>
      <c r="L15" s="28">
        <v>707</v>
      </c>
    </row>
    <row r="16" spans="1:12" x14ac:dyDescent="0.25">
      <c r="A16" s="20">
        <v>9</v>
      </c>
      <c r="B16" s="27">
        <v>44988</v>
      </c>
      <c r="C16" s="23">
        <v>617</v>
      </c>
      <c r="D16" s="23">
        <v>1608</v>
      </c>
      <c r="E16" s="23">
        <v>1136</v>
      </c>
      <c r="F16" s="23">
        <v>1044</v>
      </c>
      <c r="G16" s="23">
        <v>1248</v>
      </c>
      <c r="H16" s="23">
        <v>1329</v>
      </c>
      <c r="I16" s="23">
        <v>1084</v>
      </c>
      <c r="J16" s="23">
        <v>1893</v>
      </c>
      <c r="K16" s="23">
        <v>1327</v>
      </c>
      <c r="L16" s="28">
        <v>740</v>
      </c>
    </row>
    <row r="17" spans="1:12" x14ac:dyDescent="0.25">
      <c r="A17" s="20">
        <v>10</v>
      </c>
      <c r="B17" s="27">
        <v>44995</v>
      </c>
      <c r="C17" s="23">
        <v>585</v>
      </c>
      <c r="D17" s="23">
        <v>1621</v>
      </c>
      <c r="E17" s="23">
        <v>1059</v>
      </c>
      <c r="F17" s="23">
        <v>969</v>
      </c>
      <c r="G17" s="23">
        <v>1123</v>
      </c>
      <c r="H17" s="23">
        <v>1246</v>
      </c>
      <c r="I17" s="23">
        <v>1065</v>
      </c>
      <c r="J17" s="23">
        <v>1843</v>
      </c>
      <c r="K17" s="23">
        <v>1224</v>
      </c>
      <c r="L17" s="28">
        <v>654</v>
      </c>
    </row>
    <row r="18" spans="1:12" x14ac:dyDescent="0.25">
      <c r="A18" s="20">
        <v>11</v>
      </c>
      <c r="B18" s="27">
        <v>45002</v>
      </c>
      <c r="C18" s="23">
        <v>607</v>
      </c>
      <c r="D18" s="23">
        <v>1655</v>
      </c>
      <c r="E18" s="23">
        <v>1179</v>
      </c>
      <c r="F18" s="23">
        <v>1128</v>
      </c>
      <c r="G18" s="23">
        <v>1291</v>
      </c>
      <c r="H18" s="23">
        <v>1328</v>
      </c>
      <c r="I18" s="23">
        <v>1057</v>
      </c>
      <c r="J18" s="23">
        <v>1755</v>
      </c>
      <c r="K18" s="23">
        <v>1315</v>
      </c>
      <c r="L18" s="28">
        <v>795</v>
      </c>
    </row>
    <row r="19" spans="1:12" x14ac:dyDescent="0.25">
      <c r="A19" s="20">
        <v>12</v>
      </c>
      <c r="B19" s="27">
        <v>45009</v>
      </c>
      <c r="C19" s="23">
        <v>571</v>
      </c>
      <c r="D19" s="23">
        <v>1635</v>
      </c>
      <c r="E19" s="23">
        <v>1164</v>
      </c>
      <c r="F19" s="23">
        <v>1059</v>
      </c>
      <c r="G19" s="23">
        <v>1217</v>
      </c>
      <c r="H19" s="23">
        <v>1329</v>
      </c>
      <c r="I19" s="23">
        <v>1143</v>
      </c>
      <c r="J19" s="23">
        <v>1834</v>
      </c>
      <c r="K19" s="23">
        <v>1304</v>
      </c>
      <c r="L19" s="28">
        <v>778</v>
      </c>
    </row>
    <row r="20" spans="1:12" x14ac:dyDescent="0.25">
      <c r="A20" s="20">
        <v>13</v>
      </c>
      <c r="B20" s="27">
        <v>45016</v>
      </c>
      <c r="C20" s="23">
        <v>602</v>
      </c>
      <c r="D20" s="23">
        <v>1570</v>
      </c>
      <c r="E20" s="23">
        <v>1152</v>
      </c>
      <c r="F20" s="23">
        <v>1045</v>
      </c>
      <c r="G20" s="23">
        <v>1270</v>
      </c>
      <c r="H20" s="23">
        <v>1248</v>
      </c>
      <c r="I20" s="23">
        <v>1013</v>
      </c>
      <c r="J20" s="23">
        <v>1721</v>
      </c>
      <c r="K20" s="23">
        <v>1235</v>
      </c>
      <c r="L20" s="28">
        <v>708</v>
      </c>
    </row>
    <row r="21" spans="1:12" x14ac:dyDescent="0.25">
      <c r="A21" s="20">
        <v>14</v>
      </c>
      <c r="B21" s="27">
        <v>45023</v>
      </c>
      <c r="C21" s="23">
        <v>564</v>
      </c>
      <c r="D21" s="23">
        <v>1367</v>
      </c>
      <c r="E21" s="23">
        <v>1052</v>
      </c>
      <c r="F21" s="23">
        <v>841</v>
      </c>
      <c r="G21" s="23">
        <v>995</v>
      </c>
      <c r="H21" s="23">
        <v>1136</v>
      </c>
      <c r="I21" s="23">
        <v>899</v>
      </c>
      <c r="J21" s="23">
        <v>1563</v>
      </c>
      <c r="K21" s="23">
        <v>1038</v>
      </c>
      <c r="L21" s="28">
        <v>616</v>
      </c>
    </row>
    <row r="22" spans="1:12" x14ac:dyDescent="0.25">
      <c r="A22" s="20">
        <v>15</v>
      </c>
      <c r="B22" s="27">
        <v>45030</v>
      </c>
      <c r="C22" s="23">
        <v>573</v>
      </c>
      <c r="D22" s="23">
        <v>1402</v>
      </c>
      <c r="E22" s="23">
        <v>950</v>
      </c>
      <c r="F22" s="23">
        <v>880</v>
      </c>
      <c r="G22" s="23">
        <v>1008</v>
      </c>
      <c r="H22" s="23">
        <v>1106</v>
      </c>
      <c r="I22" s="23">
        <v>827</v>
      </c>
      <c r="J22" s="23">
        <v>1548</v>
      </c>
      <c r="K22" s="23">
        <v>1082</v>
      </c>
      <c r="L22" s="28">
        <v>578</v>
      </c>
    </row>
    <row r="23" spans="1:12" x14ac:dyDescent="0.25">
      <c r="A23" s="20">
        <v>16</v>
      </c>
      <c r="B23" s="27">
        <v>45037</v>
      </c>
      <c r="C23" s="23">
        <v>698</v>
      </c>
      <c r="D23" s="23">
        <v>1627</v>
      </c>
      <c r="E23" s="23">
        <v>1229</v>
      </c>
      <c r="F23" s="23">
        <v>1057</v>
      </c>
      <c r="G23" s="23">
        <v>1311</v>
      </c>
      <c r="H23" s="23">
        <v>1318</v>
      </c>
      <c r="I23" s="23">
        <v>1028</v>
      </c>
      <c r="J23" s="23">
        <v>1862</v>
      </c>
      <c r="K23" s="23">
        <v>1444</v>
      </c>
      <c r="L23" s="28">
        <v>821</v>
      </c>
    </row>
    <row r="24" spans="1:12" x14ac:dyDescent="0.25">
      <c r="A24" s="20">
        <v>17</v>
      </c>
      <c r="B24" s="27">
        <v>45044</v>
      </c>
      <c r="C24" s="23">
        <v>656</v>
      </c>
      <c r="D24" s="23">
        <v>1647</v>
      </c>
      <c r="E24" s="23">
        <v>1161</v>
      </c>
      <c r="F24" s="23">
        <v>1101</v>
      </c>
      <c r="G24" s="23">
        <v>1323</v>
      </c>
      <c r="H24" s="23">
        <v>1313</v>
      </c>
      <c r="I24" s="23">
        <v>1085</v>
      </c>
      <c r="J24" s="23">
        <v>1788</v>
      </c>
      <c r="K24" s="23">
        <v>1323</v>
      </c>
      <c r="L24" s="28">
        <v>732</v>
      </c>
    </row>
    <row r="25" spans="1:12" x14ac:dyDescent="0.25">
      <c r="A25" s="20">
        <v>18</v>
      </c>
      <c r="B25" s="27">
        <v>45051</v>
      </c>
      <c r="C25" s="23">
        <v>538</v>
      </c>
      <c r="D25" s="23">
        <v>1339</v>
      </c>
      <c r="E25" s="23">
        <v>1015</v>
      </c>
      <c r="F25" s="23">
        <v>903</v>
      </c>
      <c r="G25" s="23">
        <v>1038</v>
      </c>
      <c r="H25" s="23">
        <v>1056</v>
      </c>
      <c r="I25" s="23">
        <v>909</v>
      </c>
      <c r="J25" s="23">
        <v>1559</v>
      </c>
      <c r="K25" s="23">
        <v>1126</v>
      </c>
      <c r="L25" s="28">
        <v>647</v>
      </c>
    </row>
    <row r="26" spans="1:12" x14ac:dyDescent="0.25">
      <c r="A26" s="20">
        <v>19</v>
      </c>
      <c r="B26" s="27">
        <v>45058</v>
      </c>
      <c r="C26" s="23">
        <v>533</v>
      </c>
      <c r="D26" s="23">
        <v>1411</v>
      </c>
      <c r="E26" s="23">
        <v>1031</v>
      </c>
      <c r="F26" s="23">
        <v>859</v>
      </c>
      <c r="G26" s="23">
        <v>1097</v>
      </c>
      <c r="H26" s="23">
        <v>1163</v>
      </c>
      <c r="I26" s="23">
        <v>928</v>
      </c>
      <c r="J26" s="23">
        <v>1529</v>
      </c>
      <c r="K26" s="23">
        <v>1178</v>
      </c>
      <c r="L26" s="28">
        <v>610</v>
      </c>
    </row>
    <row r="27" spans="1:12" x14ac:dyDescent="0.25">
      <c r="A27" s="20">
        <v>20</v>
      </c>
      <c r="B27" s="27">
        <v>45065</v>
      </c>
      <c r="C27" s="23">
        <v>570</v>
      </c>
      <c r="D27" s="23">
        <v>1548</v>
      </c>
      <c r="E27" s="23">
        <v>1196</v>
      </c>
      <c r="F27" s="23">
        <v>998</v>
      </c>
      <c r="G27" s="23">
        <v>1227</v>
      </c>
      <c r="H27" s="23">
        <v>1261</v>
      </c>
      <c r="I27" s="23">
        <v>1021</v>
      </c>
      <c r="J27" s="23">
        <v>1844</v>
      </c>
      <c r="K27" s="23">
        <v>1267</v>
      </c>
      <c r="L27" s="28">
        <v>697</v>
      </c>
    </row>
    <row r="28" spans="1:12" x14ac:dyDescent="0.25">
      <c r="A28" s="20">
        <v>21</v>
      </c>
      <c r="B28" s="27">
        <v>45072</v>
      </c>
      <c r="C28" s="23">
        <v>549</v>
      </c>
      <c r="D28" s="23">
        <v>1503</v>
      </c>
      <c r="E28" s="23">
        <v>1070</v>
      </c>
      <c r="F28" s="23">
        <v>962</v>
      </c>
      <c r="G28" s="23">
        <v>1115</v>
      </c>
      <c r="H28" s="23">
        <v>1125</v>
      </c>
      <c r="I28" s="23">
        <v>952</v>
      </c>
      <c r="J28" s="23">
        <v>1845</v>
      </c>
      <c r="K28" s="23">
        <v>1281</v>
      </c>
      <c r="L28" s="28">
        <v>673</v>
      </c>
    </row>
    <row r="29" spans="1:12" x14ac:dyDescent="0.25">
      <c r="A29" s="20">
        <v>22</v>
      </c>
      <c r="B29" s="27">
        <v>45079</v>
      </c>
      <c r="C29" s="23">
        <v>475</v>
      </c>
      <c r="D29" s="23">
        <v>1153</v>
      </c>
      <c r="E29" s="23">
        <v>828</v>
      </c>
      <c r="F29" s="23">
        <v>762</v>
      </c>
      <c r="G29" s="23">
        <v>889</v>
      </c>
      <c r="H29" s="23">
        <v>1002</v>
      </c>
      <c r="I29" s="23">
        <v>818</v>
      </c>
      <c r="J29" s="23">
        <v>1437</v>
      </c>
      <c r="K29" s="23">
        <v>889</v>
      </c>
      <c r="L29" s="28">
        <v>557</v>
      </c>
    </row>
    <row r="30" spans="1:12" x14ac:dyDescent="0.25">
      <c r="A30" s="20">
        <v>23</v>
      </c>
      <c r="B30" s="27">
        <v>45086</v>
      </c>
      <c r="C30" s="23">
        <v>592</v>
      </c>
      <c r="D30" s="23">
        <v>1378</v>
      </c>
      <c r="E30" s="23">
        <v>1090</v>
      </c>
      <c r="F30" s="23">
        <v>946</v>
      </c>
      <c r="G30" s="23">
        <v>1147</v>
      </c>
      <c r="H30" s="23">
        <v>1210</v>
      </c>
      <c r="I30" s="23">
        <v>999</v>
      </c>
      <c r="J30" s="23">
        <v>1751</v>
      </c>
      <c r="K30" s="23">
        <v>1164</v>
      </c>
      <c r="L30" s="28">
        <v>640</v>
      </c>
    </row>
    <row r="31" spans="1:12" x14ac:dyDescent="0.25">
      <c r="A31" s="20">
        <v>24</v>
      </c>
      <c r="B31" s="27">
        <v>45093</v>
      </c>
      <c r="C31" s="23">
        <v>551</v>
      </c>
      <c r="D31" s="23">
        <v>1463</v>
      </c>
      <c r="E31" s="23">
        <v>1061</v>
      </c>
      <c r="F31" s="23">
        <v>914</v>
      </c>
      <c r="G31" s="23">
        <v>1070</v>
      </c>
      <c r="H31" s="23">
        <v>1168</v>
      </c>
      <c r="I31" s="23">
        <v>961</v>
      </c>
      <c r="J31" s="23">
        <v>1638</v>
      </c>
      <c r="K31" s="23">
        <v>1195</v>
      </c>
      <c r="L31" s="28">
        <v>652</v>
      </c>
    </row>
    <row r="32" spans="1:12" x14ac:dyDescent="0.25">
      <c r="A32" s="20">
        <v>25</v>
      </c>
      <c r="B32" s="27">
        <v>45100</v>
      </c>
      <c r="C32" s="23">
        <v>532</v>
      </c>
      <c r="D32" s="23">
        <v>1358</v>
      </c>
      <c r="E32" s="23">
        <v>991</v>
      </c>
      <c r="F32" s="23">
        <v>949</v>
      </c>
      <c r="G32" s="23">
        <v>1051</v>
      </c>
      <c r="H32" s="23">
        <v>1187</v>
      </c>
      <c r="I32" s="23">
        <v>1011</v>
      </c>
      <c r="J32" s="23">
        <v>1587</v>
      </c>
      <c r="K32" s="23">
        <v>1141</v>
      </c>
      <c r="L32" s="28">
        <v>632</v>
      </c>
    </row>
    <row r="33" spans="1:12" x14ac:dyDescent="0.25">
      <c r="A33" s="20">
        <v>26</v>
      </c>
      <c r="B33" s="27">
        <v>45107</v>
      </c>
      <c r="C33" s="23">
        <v>581</v>
      </c>
      <c r="D33" s="23">
        <v>1385</v>
      </c>
      <c r="E33" s="23">
        <v>1028</v>
      </c>
      <c r="F33" s="23">
        <v>888</v>
      </c>
      <c r="G33" s="23">
        <v>1094</v>
      </c>
      <c r="H33" s="23">
        <v>1083</v>
      </c>
      <c r="I33" s="23">
        <v>969</v>
      </c>
      <c r="J33" s="23">
        <v>1600</v>
      </c>
      <c r="K33" s="23">
        <v>1038</v>
      </c>
      <c r="L33" s="28">
        <v>685</v>
      </c>
    </row>
    <row r="34" spans="1:12" x14ac:dyDescent="0.25">
      <c r="A34" s="20">
        <v>27</v>
      </c>
      <c r="B34" s="27">
        <v>45114</v>
      </c>
      <c r="C34" s="23">
        <v>526</v>
      </c>
      <c r="D34" s="23">
        <v>1306</v>
      </c>
      <c r="E34" s="23">
        <v>924</v>
      </c>
      <c r="F34" s="23">
        <v>767</v>
      </c>
      <c r="G34" s="23">
        <v>1018</v>
      </c>
      <c r="H34" s="23">
        <v>1083</v>
      </c>
      <c r="I34" s="23">
        <v>910</v>
      </c>
      <c r="J34" s="23">
        <v>1498</v>
      </c>
      <c r="K34" s="23">
        <v>1047</v>
      </c>
      <c r="L34" s="28">
        <v>632</v>
      </c>
    </row>
    <row r="35" spans="1:12" x14ac:dyDescent="0.25">
      <c r="A35" s="20">
        <v>28</v>
      </c>
      <c r="B35" s="27">
        <v>45121</v>
      </c>
      <c r="C35" s="23">
        <v>534</v>
      </c>
      <c r="D35" s="23">
        <v>1291</v>
      </c>
      <c r="E35" s="23">
        <v>1018</v>
      </c>
      <c r="F35" s="23">
        <v>852</v>
      </c>
      <c r="G35" s="23">
        <v>1107</v>
      </c>
      <c r="H35" s="23">
        <v>1021</v>
      </c>
      <c r="I35" s="23">
        <v>896</v>
      </c>
      <c r="J35" s="23">
        <v>1581</v>
      </c>
      <c r="K35" s="23">
        <v>1053</v>
      </c>
      <c r="L35" s="28">
        <v>653</v>
      </c>
    </row>
    <row r="36" spans="1:12" x14ac:dyDescent="0.25">
      <c r="A36" s="20">
        <v>29</v>
      </c>
      <c r="B36" s="27">
        <v>45128</v>
      </c>
      <c r="C36" s="23">
        <v>492</v>
      </c>
      <c r="D36" s="23">
        <v>1297</v>
      </c>
      <c r="E36" s="23">
        <v>998</v>
      </c>
      <c r="F36" s="23">
        <v>815</v>
      </c>
      <c r="G36" s="23">
        <v>1030</v>
      </c>
      <c r="H36" s="23">
        <v>1043</v>
      </c>
      <c r="I36" s="23">
        <v>828</v>
      </c>
      <c r="J36" s="23">
        <v>1471</v>
      </c>
      <c r="K36" s="23">
        <v>1037</v>
      </c>
      <c r="L36" s="28">
        <v>623</v>
      </c>
    </row>
    <row r="37" spans="1:12" x14ac:dyDescent="0.25">
      <c r="A37" s="20">
        <v>30</v>
      </c>
      <c r="B37" s="27">
        <v>45135</v>
      </c>
      <c r="C37" s="23">
        <v>522</v>
      </c>
      <c r="D37" s="23">
        <v>1348</v>
      </c>
      <c r="E37" s="23">
        <v>928</v>
      </c>
      <c r="F37" s="23">
        <v>832</v>
      </c>
      <c r="G37" s="23">
        <v>975</v>
      </c>
      <c r="H37" s="23">
        <v>1001</v>
      </c>
      <c r="I37" s="23">
        <v>865</v>
      </c>
      <c r="J37" s="23">
        <v>1497</v>
      </c>
      <c r="K37" s="23">
        <v>1049</v>
      </c>
      <c r="L37" s="28">
        <v>639</v>
      </c>
    </row>
    <row r="38" spans="1:12" x14ac:dyDescent="0.25">
      <c r="A38" s="20">
        <v>31</v>
      </c>
      <c r="B38" s="27">
        <v>45142</v>
      </c>
      <c r="C38" s="23">
        <v>572</v>
      </c>
      <c r="D38" s="23">
        <v>1405</v>
      </c>
      <c r="E38" s="23">
        <v>989</v>
      </c>
      <c r="F38" s="23">
        <v>865</v>
      </c>
      <c r="G38" s="23">
        <v>1026</v>
      </c>
      <c r="H38" s="23">
        <v>1046</v>
      </c>
      <c r="I38" s="23">
        <v>912</v>
      </c>
      <c r="J38" s="23">
        <v>1488</v>
      </c>
      <c r="K38" s="23">
        <v>1062</v>
      </c>
      <c r="L38" s="28">
        <v>633</v>
      </c>
    </row>
    <row r="39" spans="1:12" x14ac:dyDescent="0.25">
      <c r="A39" s="20">
        <v>32</v>
      </c>
      <c r="B39" s="27">
        <v>45149</v>
      </c>
      <c r="C39" s="23">
        <v>518</v>
      </c>
      <c r="D39" s="23">
        <v>1358</v>
      </c>
      <c r="E39" s="23">
        <v>991</v>
      </c>
      <c r="F39" s="23">
        <v>901</v>
      </c>
      <c r="G39" s="23">
        <v>1061</v>
      </c>
      <c r="H39" s="23">
        <v>1075</v>
      </c>
      <c r="I39" s="23">
        <v>881</v>
      </c>
      <c r="J39" s="23">
        <v>1521</v>
      </c>
      <c r="K39" s="23">
        <v>1101</v>
      </c>
      <c r="L39" s="28">
        <v>561</v>
      </c>
    </row>
    <row r="40" spans="1:12" x14ac:dyDescent="0.25">
      <c r="A40" s="20">
        <v>33</v>
      </c>
      <c r="B40" s="27">
        <v>45156</v>
      </c>
      <c r="C40" s="23">
        <v>540</v>
      </c>
      <c r="D40" s="23">
        <v>1320</v>
      </c>
      <c r="E40" s="23">
        <v>959</v>
      </c>
      <c r="F40" s="23">
        <v>903</v>
      </c>
      <c r="G40" s="23">
        <v>1027</v>
      </c>
      <c r="H40" s="23">
        <v>1055</v>
      </c>
      <c r="I40" s="23">
        <v>917</v>
      </c>
      <c r="J40" s="23">
        <v>1533</v>
      </c>
      <c r="K40" s="23">
        <v>1119</v>
      </c>
      <c r="L40" s="28">
        <v>660</v>
      </c>
    </row>
    <row r="41" spans="1:12" x14ac:dyDescent="0.25">
      <c r="A41" s="20">
        <v>34</v>
      </c>
      <c r="B41" s="27">
        <v>45163</v>
      </c>
      <c r="C41" s="23">
        <v>527</v>
      </c>
      <c r="D41" s="23">
        <v>1360</v>
      </c>
      <c r="E41" s="23">
        <v>1060</v>
      </c>
      <c r="F41" s="23">
        <v>828</v>
      </c>
      <c r="G41" s="23">
        <v>1021</v>
      </c>
      <c r="H41" s="23">
        <v>1055</v>
      </c>
      <c r="I41" s="23">
        <v>927</v>
      </c>
      <c r="J41" s="23">
        <v>1494</v>
      </c>
      <c r="K41" s="23">
        <v>1092</v>
      </c>
      <c r="L41" s="28">
        <v>686</v>
      </c>
    </row>
    <row r="42" spans="1:12" x14ac:dyDescent="0.25">
      <c r="A42" s="20">
        <v>35</v>
      </c>
      <c r="B42" s="27">
        <v>45170</v>
      </c>
      <c r="C42" s="23">
        <v>467</v>
      </c>
      <c r="D42" s="23">
        <v>1201</v>
      </c>
      <c r="E42" s="23">
        <v>782</v>
      </c>
      <c r="F42" s="23">
        <v>800</v>
      </c>
      <c r="G42" s="23">
        <v>870</v>
      </c>
      <c r="H42" s="23">
        <v>863</v>
      </c>
      <c r="I42" s="23">
        <v>742</v>
      </c>
      <c r="J42" s="23">
        <v>1285</v>
      </c>
      <c r="K42" s="23">
        <v>860</v>
      </c>
      <c r="L42" s="28">
        <v>544</v>
      </c>
    </row>
    <row r="43" spans="1:12" x14ac:dyDescent="0.25">
      <c r="A43" s="10"/>
      <c r="B43" s="10"/>
      <c r="C43" s="10"/>
      <c r="D43" s="10"/>
      <c r="E43" s="10"/>
      <c r="F43" s="10"/>
      <c r="G43" s="10"/>
      <c r="H43" s="10"/>
      <c r="I43" s="10"/>
      <c r="J43" s="10"/>
      <c r="K43" s="10"/>
      <c r="L43" s="10"/>
    </row>
    <row r="44" spans="1:12" ht="15.6" x14ac:dyDescent="0.3">
      <c r="A44" s="3" t="s">
        <v>238</v>
      </c>
    </row>
    <row r="45" spans="1:12" ht="31.2" x14ac:dyDescent="0.25">
      <c r="A45" s="21" t="s">
        <v>116</v>
      </c>
      <c r="B45" s="24" t="s">
        <v>131</v>
      </c>
      <c r="C45" s="21" t="s">
        <v>196</v>
      </c>
      <c r="D45" s="21" t="s">
        <v>197</v>
      </c>
      <c r="E45" s="21" t="s">
        <v>198</v>
      </c>
      <c r="F45" s="21" t="s">
        <v>199</v>
      </c>
      <c r="G45" s="21" t="s">
        <v>200</v>
      </c>
      <c r="H45" s="21" t="s">
        <v>201</v>
      </c>
      <c r="I45" s="21" t="s">
        <v>202</v>
      </c>
      <c r="J45" s="21" t="s">
        <v>203</v>
      </c>
      <c r="K45" s="21" t="s">
        <v>204</v>
      </c>
      <c r="L45" s="24" t="s">
        <v>178</v>
      </c>
    </row>
    <row r="46" spans="1:12" x14ac:dyDescent="0.25">
      <c r="A46" s="19">
        <v>1</v>
      </c>
      <c r="B46" s="25">
        <v>44932</v>
      </c>
      <c r="C46" s="22">
        <v>37</v>
      </c>
      <c r="D46" s="22">
        <v>81</v>
      </c>
      <c r="E46" s="22">
        <v>58</v>
      </c>
      <c r="F46" s="22">
        <v>68</v>
      </c>
      <c r="G46" s="22">
        <v>63</v>
      </c>
      <c r="H46" s="22">
        <v>94</v>
      </c>
      <c r="I46" s="22">
        <v>84</v>
      </c>
      <c r="J46" s="22">
        <v>115</v>
      </c>
      <c r="K46" s="22">
        <v>79</v>
      </c>
      <c r="L46" s="26">
        <v>57</v>
      </c>
    </row>
    <row r="47" spans="1:12" x14ac:dyDescent="0.25">
      <c r="A47" s="20">
        <v>2</v>
      </c>
      <c r="B47" s="27">
        <v>44939</v>
      </c>
      <c r="C47" s="23">
        <v>45</v>
      </c>
      <c r="D47" s="23">
        <v>103</v>
      </c>
      <c r="E47" s="23">
        <v>80</v>
      </c>
      <c r="F47" s="23">
        <v>61</v>
      </c>
      <c r="G47" s="23">
        <v>95</v>
      </c>
      <c r="H47" s="23">
        <v>98</v>
      </c>
      <c r="I47" s="23">
        <v>98</v>
      </c>
      <c r="J47" s="23">
        <v>142</v>
      </c>
      <c r="K47" s="23">
        <v>127</v>
      </c>
      <c r="L47" s="28">
        <v>70</v>
      </c>
    </row>
    <row r="48" spans="1:12" x14ac:dyDescent="0.25">
      <c r="A48" s="20">
        <v>3</v>
      </c>
      <c r="B48" s="27">
        <v>44946</v>
      </c>
      <c r="C48" s="23">
        <v>40</v>
      </c>
      <c r="D48" s="23">
        <v>92</v>
      </c>
      <c r="E48" s="23">
        <v>74</v>
      </c>
      <c r="F48" s="23">
        <v>66</v>
      </c>
      <c r="G48" s="23">
        <v>71</v>
      </c>
      <c r="H48" s="23">
        <v>97</v>
      </c>
      <c r="I48" s="23">
        <v>66</v>
      </c>
      <c r="J48" s="23">
        <v>119</v>
      </c>
      <c r="K48" s="23">
        <v>86</v>
      </c>
      <c r="L48" s="28">
        <v>69</v>
      </c>
    </row>
    <row r="49" spans="1:12" x14ac:dyDescent="0.25">
      <c r="A49" s="20">
        <v>4</v>
      </c>
      <c r="B49" s="27">
        <v>44953</v>
      </c>
      <c r="C49" s="23">
        <v>33</v>
      </c>
      <c r="D49" s="23">
        <v>73</v>
      </c>
      <c r="E49" s="23">
        <v>62</v>
      </c>
      <c r="F49" s="23">
        <v>37</v>
      </c>
      <c r="G49" s="23">
        <v>63</v>
      </c>
      <c r="H49" s="23">
        <v>80</v>
      </c>
      <c r="I49" s="23">
        <v>58</v>
      </c>
      <c r="J49" s="23">
        <v>93</v>
      </c>
      <c r="K49" s="23">
        <v>46</v>
      </c>
      <c r="L49" s="28">
        <v>33</v>
      </c>
    </row>
    <row r="50" spans="1:12" x14ac:dyDescent="0.25">
      <c r="A50" s="20">
        <v>5</v>
      </c>
      <c r="B50" s="27">
        <v>44960</v>
      </c>
      <c r="C50" s="23">
        <v>17</v>
      </c>
      <c r="D50" s="23">
        <v>69</v>
      </c>
      <c r="E50" s="23">
        <v>40</v>
      </c>
      <c r="F50" s="23">
        <v>41</v>
      </c>
      <c r="G50" s="23">
        <v>67</v>
      </c>
      <c r="H50" s="23">
        <v>76</v>
      </c>
      <c r="I50" s="23">
        <v>42</v>
      </c>
      <c r="J50" s="23">
        <v>87</v>
      </c>
      <c r="K50" s="23">
        <v>30</v>
      </c>
      <c r="L50" s="28">
        <v>29</v>
      </c>
    </row>
    <row r="51" spans="1:12" x14ac:dyDescent="0.25">
      <c r="A51" s="20">
        <v>6</v>
      </c>
      <c r="B51" s="27">
        <v>44967</v>
      </c>
      <c r="C51" s="23">
        <v>18</v>
      </c>
      <c r="D51" s="23">
        <v>49</v>
      </c>
      <c r="E51" s="23">
        <v>39</v>
      </c>
      <c r="F51" s="23">
        <v>35</v>
      </c>
      <c r="G51" s="23">
        <v>65</v>
      </c>
      <c r="H51" s="23">
        <v>70</v>
      </c>
      <c r="I51" s="23">
        <v>36</v>
      </c>
      <c r="J51" s="23">
        <v>81</v>
      </c>
      <c r="K51" s="23">
        <v>39</v>
      </c>
      <c r="L51" s="28">
        <v>14</v>
      </c>
    </row>
    <row r="52" spans="1:12" x14ac:dyDescent="0.25">
      <c r="A52" s="20">
        <v>7</v>
      </c>
      <c r="B52" s="27">
        <v>44974</v>
      </c>
      <c r="C52" s="23">
        <v>32</v>
      </c>
      <c r="D52" s="23">
        <v>45</v>
      </c>
      <c r="E52" s="23">
        <v>28</v>
      </c>
      <c r="F52" s="23">
        <v>32</v>
      </c>
      <c r="G52" s="23">
        <v>59</v>
      </c>
      <c r="H52" s="23">
        <v>62</v>
      </c>
      <c r="I52" s="23">
        <v>34</v>
      </c>
      <c r="J52" s="23">
        <v>73</v>
      </c>
      <c r="K52" s="23">
        <v>36</v>
      </c>
      <c r="L52" s="28">
        <v>13</v>
      </c>
    </row>
    <row r="53" spans="1:12" x14ac:dyDescent="0.25">
      <c r="A53" s="20">
        <v>8</v>
      </c>
      <c r="B53" s="27">
        <v>44981</v>
      </c>
      <c r="C53" s="23">
        <v>27</v>
      </c>
      <c r="D53" s="23">
        <v>60</v>
      </c>
      <c r="E53" s="23">
        <v>42</v>
      </c>
      <c r="F53" s="23">
        <v>35</v>
      </c>
      <c r="G53" s="23">
        <v>48</v>
      </c>
      <c r="H53" s="23">
        <v>63</v>
      </c>
      <c r="I53" s="23">
        <v>36</v>
      </c>
      <c r="J53" s="23">
        <v>66</v>
      </c>
      <c r="K53" s="23">
        <v>22</v>
      </c>
      <c r="L53" s="28">
        <v>20</v>
      </c>
    </row>
    <row r="54" spans="1:12" x14ac:dyDescent="0.25">
      <c r="A54" s="20">
        <v>9</v>
      </c>
      <c r="B54" s="27">
        <v>44988</v>
      </c>
      <c r="C54" s="23">
        <v>35</v>
      </c>
      <c r="D54" s="23">
        <v>58</v>
      </c>
      <c r="E54" s="23">
        <v>49</v>
      </c>
      <c r="F54" s="23">
        <v>48</v>
      </c>
      <c r="G54" s="23">
        <v>55</v>
      </c>
      <c r="H54" s="23">
        <v>64</v>
      </c>
      <c r="I54" s="23">
        <v>54</v>
      </c>
      <c r="J54" s="23">
        <v>71</v>
      </c>
      <c r="K54" s="23">
        <v>65</v>
      </c>
      <c r="L54" s="28">
        <v>14</v>
      </c>
    </row>
    <row r="55" spans="1:12" x14ac:dyDescent="0.25">
      <c r="A55" s="20">
        <v>10</v>
      </c>
      <c r="B55" s="27">
        <v>44995</v>
      </c>
      <c r="C55" s="23">
        <v>35</v>
      </c>
      <c r="D55" s="23">
        <v>63</v>
      </c>
      <c r="E55" s="23">
        <v>52</v>
      </c>
      <c r="F55" s="23">
        <v>68</v>
      </c>
      <c r="G55" s="23">
        <v>57</v>
      </c>
      <c r="H55" s="23">
        <v>70</v>
      </c>
      <c r="I55" s="23">
        <v>53</v>
      </c>
      <c r="J55" s="23">
        <v>82</v>
      </c>
      <c r="K55" s="23">
        <v>41</v>
      </c>
      <c r="L55" s="28">
        <v>11</v>
      </c>
    </row>
    <row r="56" spans="1:12" x14ac:dyDescent="0.25">
      <c r="A56" s="20">
        <v>11</v>
      </c>
      <c r="B56" s="27">
        <v>45002</v>
      </c>
      <c r="C56" s="23">
        <v>27</v>
      </c>
      <c r="D56" s="23">
        <v>82</v>
      </c>
      <c r="E56" s="23">
        <v>48</v>
      </c>
      <c r="F56" s="23">
        <v>52</v>
      </c>
      <c r="G56" s="23">
        <v>53</v>
      </c>
      <c r="H56" s="23">
        <v>74</v>
      </c>
      <c r="I56" s="23">
        <v>42</v>
      </c>
      <c r="J56" s="23">
        <v>79</v>
      </c>
      <c r="K56" s="23">
        <v>55</v>
      </c>
      <c r="L56" s="28">
        <v>47</v>
      </c>
    </row>
    <row r="57" spans="1:12" x14ac:dyDescent="0.25">
      <c r="A57" s="20">
        <v>12</v>
      </c>
      <c r="B57" s="27">
        <v>45009</v>
      </c>
      <c r="C57" s="23">
        <v>37</v>
      </c>
      <c r="D57" s="23">
        <v>93</v>
      </c>
      <c r="E57" s="23">
        <v>56</v>
      </c>
      <c r="F57" s="23">
        <v>68</v>
      </c>
      <c r="G57" s="23">
        <v>63</v>
      </c>
      <c r="H57" s="23">
        <v>69</v>
      </c>
      <c r="I57" s="23">
        <v>61</v>
      </c>
      <c r="J57" s="23">
        <v>81</v>
      </c>
      <c r="K57" s="23">
        <v>56</v>
      </c>
      <c r="L57" s="28">
        <v>40</v>
      </c>
    </row>
    <row r="58" spans="1:12" x14ac:dyDescent="0.25">
      <c r="A58" s="20">
        <v>13</v>
      </c>
      <c r="B58" s="27">
        <v>45016</v>
      </c>
      <c r="C58" s="23">
        <v>35</v>
      </c>
      <c r="D58" s="23">
        <v>87</v>
      </c>
      <c r="E58" s="23">
        <v>66</v>
      </c>
      <c r="F58" s="23">
        <v>53</v>
      </c>
      <c r="G58" s="23">
        <v>76</v>
      </c>
      <c r="H58" s="23">
        <v>82</v>
      </c>
      <c r="I58" s="23">
        <v>52</v>
      </c>
      <c r="J58" s="23">
        <v>84</v>
      </c>
      <c r="K58" s="23">
        <v>64</v>
      </c>
      <c r="L58" s="28">
        <v>35</v>
      </c>
    </row>
    <row r="59" spans="1:12" x14ac:dyDescent="0.25">
      <c r="A59" s="20">
        <v>14</v>
      </c>
      <c r="B59" s="27">
        <v>45023</v>
      </c>
      <c r="C59" s="23">
        <v>26</v>
      </c>
      <c r="D59" s="23">
        <v>72</v>
      </c>
      <c r="E59" s="23">
        <v>48</v>
      </c>
      <c r="F59" s="23">
        <v>47</v>
      </c>
      <c r="G59" s="23">
        <v>49</v>
      </c>
      <c r="H59" s="23">
        <v>62</v>
      </c>
      <c r="I59" s="23">
        <v>42</v>
      </c>
      <c r="J59" s="23">
        <v>96</v>
      </c>
      <c r="K59" s="23">
        <v>42</v>
      </c>
      <c r="L59" s="28">
        <v>28</v>
      </c>
    </row>
    <row r="60" spans="1:12" x14ac:dyDescent="0.25">
      <c r="A60" s="20">
        <v>15</v>
      </c>
      <c r="B60" s="27">
        <v>45030</v>
      </c>
      <c r="C60" s="23">
        <v>37</v>
      </c>
      <c r="D60" s="23">
        <v>69</v>
      </c>
      <c r="E60" s="23">
        <v>30</v>
      </c>
      <c r="F60" s="23">
        <v>40</v>
      </c>
      <c r="G60" s="23">
        <v>46</v>
      </c>
      <c r="H60" s="23">
        <v>58</v>
      </c>
      <c r="I60" s="23">
        <v>35</v>
      </c>
      <c r="J60" s="23">
        <v>76</v>
      </c>
      <c r="K60" s="23">
        <v>48</v>
      </c>
      <c r="L60" s="28">
        <v>23</v>
      </c>
    </row>
    <row r="61" spans="1:12" x14ac:dyDescent="0.25">
      <c r="A61" s="20">
        <v>16</v>
      </c>
      <c r="B61" s="27">
        <v>45037</v>
      </c>
      <c r="C61" s="23">
        <v>37</v>
      </c>
      <c r="D61" s="23">
        <v>74</v>
      </c>
      <c r="E61" s="23">
        <v>49</v>
      </c>
      <c r="F61" s="23">
        <v>50</v>
      </c>
      <c r="G61" s="23">
        <v>48</v>
      </c>
      <c r="H61" s="23">
        <v>64</v>
      </c>
      <c r="I61" s="23">
        <v>41</v>
      </c>
      <c r="J61" s="23">
        <v>92</v>
      </c>
      <c r="K61" s="23">
        <v>53</v>
      </c>
      <c r="L61" s="28">
        <v>30</v>
      </c>
    </row>
    <row r="62" spans="1:12" x14ac:dyDescent="0.25">
      <c r="A62" s="20">
        <v>17</v>
      </c>
      <c r="B62" s="27">
        <v>45044</v>
      </c>
      <c r="C62" s="23">
        <v>22</v>
      </c>
      <c r="D62" s="23">
        <v>62</v>
      </c>
      <c r="E62" s="23">
        <v>51</v>
      </c>
      <c r="F62" s="23">
        <v>44</v>
      </c>
      <c r="G62" s="23">
        <v>57</v>
      </c>
      <c r="H62" s="23">
        <v>48</v>
      </c>
      <c r="I62" s="23">
        <v>41</v>
      </c>
      <c r="J62" s="23">
        <v>71</v>
      </c>
      <c r="K62" s="23">
        <v>40</v>
      </c>
      <c r="L62" s="28">
        <v>23</v>
      </c>
    </row>
    <row r="63" spans="1:12" x14ac:dyDescent="0.25">
      <c r="A63" s="20">
        <v>18</v>
      </c>
      <c r="B63" s="27">
        <v>45051</v>
      </c>
      <c r="C63" s="23">
        <v>11</v>
      </c>
      <c r="D63" s="23">
        <v>37</v>
      </c>
      <c r="E63" s="23">
        <v>23</v>
      </c>
      <c r="F63" s="23">
        <v>33</v>
      </c>
      <c r="G63" s="23">
        <v>32</v>
      </c>
      <c r="H63" s="23">
        <v>46</v>
      </c>
      <c r="I63" s="23">
        <v>31</v>
      </c>
      <c r="J63" s="23">
        <v>50</v>
      </c>
      <c r="K63" s="23">
        <v>23</v>
      </c>
      <c r="L63" s="28">
        <v>24</v>
      </c>
    </row>
    <row r="64" spans="1:12" x14ac:dyDescent="0.25">
      <c r="A64" s="20">
        <v>19</v>
      </c>
      <c r="B64" s="27">
        <v>45058</v>
      </c>
      <c r="C64" s="23">
        <v>24</v>
      </c>
      <c r="D64" s="23">
        <v>32</v>
      </c>
      <c r="E64" s="23">
        <v>31</v>
      </c>
      <c r="F64" s="23">
        <v>22</v>
      </c>
      <c r="G64" s="23">
        <v>24</v>
      </c>
      <c r="H64" s="23">
        <v>47</v>
      </c>
      <c r="I64" s="23">
        <v>24</v>
      </c>
      <c r="J64" s="23">
        <v>45</v>
      </c>
      <c r="K64" s="23">
        <v>34</v>
      </c>
      <c r="L64" s="28">
        <v>26</v>
      </c>
    </row>
    <row r="65" spans="1:12" x14ac:dyDescent="0.25">
      <c r="A65" s="20">
        <v>20</v>
      </c>
      <c r="B65" s="27">
        <v>45065</v>
      </c>
      <c r="C65" s="23">
        <v>19</v>
      </c>
      <c r="D65" s="23">
        <v>41</v>
      </c>
      <c r="E65" s="23">
        <v>30</v>
      </c>
      <c r="F65" s="23">
        <v>36</v>
      </c>
      <c r="G65" s="23">
        <v>43</v>
      </c>
      <c r="H65" s="23">
        <v>33</v>
      </c>
      <c r="I65" s="23">
        <v>24</v>
      </c>
      <c r="J65" s="23">
        <v>55</v>
      </c>
      <c r="K65" s="23">
        <v>23</v>
      </c>
      <c r="L65" s="28">
        <v>17</v>
      </c>
    </row>
    <row r="66" spans="1:12" x14ac:dyDescent="0.25">
      <c r="A66" s="20">
        <v>21</v>
      </c>
      <c r="B66" s="27">
        <v>45072</v>
      </c>
      <c r="C66" s="23">
        <v>13</v>
      </c>
      <c r="D66" s="23">
        <v>33</v>
      </c>
      <c r="E66" s="23">
        <v>26</v>
      </c>
      <c r="F66" s="23">
        <v>27</v>
      </c>
      <c r="G66" s="23">
        <v>30</v>
      </c>
      <c r="H66" s="23">
        <v>30</v>
      </c>
      <c r="I66" s="23">
        <v>28</v>
      </c>
      <c r="J66" s="23">
        <v>38</v>
      </c>
      <c r="K66" s="23">
        <v>26</v>
      </c>
      <c r="L66" s="28">
        <v>11</v>
      </c>
    </row>
    <row r="67" spans="1:12" x14ac:dyDescent="0.25">
      <c r="A67" s="20">
        <v>22</v>
      </c>
      <c r="B67" s="27">
        <v>45079</v>
      </c>
      <c r="C67" s="23">
        <v>11</v>
      </c>
      <c r="D67" s="23">
        <v>27</v>
      </c>
      <c r="E67" s="23">
        <v>21</v>
      </c>
      <c r="F67" s="23">
        <v>19</v>
      </c>
      <c r="G67" s="23">
        <v>16</v>
      </c>
      <c r="H67" s="23">
        <v>26</v>
      </c>
      <c r="I67" s="23">
        <v>17</v>
      </c>
      <c r="J67" s="23">
        <v>25</v>
      </c>
      <c r="K67" s="23">
        <v>13</v>
      </c>
      <c r="L67" s="28">
        <v>12</v>
      </c>
    </row>
    <row r="68" spans="1:12" x14ac:dyDescent="0.25">
      <c r="A68" s="20">
        <v>23</v>
      </c>
      <c r="B68" s="27">
        <v>45086</v>
      </c>
      <c r="C68" s="23">
        <v>6</v>
      </c>
      <c r="D68" s="23">
        <v>19</v>
      </c>
      <c r="E68" s="23">
        <v>20</v>
      </c>
      <c r="F68" s="23">
        <v>24</v>
      </c>
      <c r="G68" s="23">
        <v>28</v>
      </c>
      <c r="H68" s="23">
        <v>15</v>
      </c>
      <c r="I68" s="23">
        <v>20</v>
      </c>
      <c r="J68" s="23">
        <v>39</v>
      </c>
      <c r="K68" s="23">
        <v>24</v>
      </c>
      <c r="L68" s="28">
        <v>16</v>
      </c>
    </row>
    <row r="69" spans="1:12" x14ac:dyDescent="0.25">
      <c r="A69" s="20">
        <v>24</v>
      </c>
      <c r="B69" s="27">
        <v>45093</v>
      </c>
      <c r="C69" s="23">
        <v>7</v>
      </c>
      <c r="D69" s="23">
        <v>23</v>
      </c>
      <c r="E69" s="23">
        <v>13</v>
      </c>
      <c r="F69" s="23">
        <v>19</v>
      </c>
      <c r="G69" s="23">
        <v>12</v>
      </c>
      <c r="H69" s="23">
        <v>24</v>
      </c>
      <c r="I69" s="23">
        <v>17</v>
      </c>
      <c r="J69" s="23">
        <v>26</v>
      </c>
      <c r="K69" s="23">
        <v>7</v>
      </c>
      <c r="L69" s="28">
        <v>7</v>
      </c>
    </row>
    <row r="70" spans="1:12" x14ac:dyDescent="0.25">
      <c r="A70" s="20">
        <v>25</v>
      </c>
      <c r="B70" s="27">
        <v>45100</v>
      </c>
      <c r="C70" s="23">
        <v>8</v>
      </c>
      <c r="D70" s="23">
        <v>17</v>
      </c>
      <c r="E70" s="23">
        <v>14</v>
      </c>
      <c r="F70" s="23">
        <v>16</v>
      </c>
      <c r="G70" s="23">
        <v>12</v>
      </c>
      <c r="H70" s="23">
        <v>24</v>
      </c>
      <c r="I70" s="23">
        <v>12</v>
      </c>
      <c r="J70" s="23">
        <v>23</v>
      </c>
      <c r="K70" s="23">
        <v>15</v>
      </c>
      <c r="L70" s="28">
        <v>13</v>
      </c>
    </row>
    <row r="71" spans="1:12" x14ac:dyDescent="0.25">
      <c r="A71" s="20">
        <v>26</v>
      </c>
      <c r="B71" s="27">
        <v>45107</v>
      </c>
      <c r="C71" s="23">
        <v>5</v>
      </c>
      <c r="D71" s="23">
        <v>15</v>
      </c>
      <c r="E71" s="23">
        <v>14</v>
      </c>
      <c r="F71" s="23">
        <v>17</v>
      </c>
      <c r="G71" s="23">
        <v>10</v>
      </c>
      <c r="H71" s="23">
        <v>13</v>
      </c>
      <c r="I71" s="23">
        <v>14</v>
      </c>
      <c r="J71" s="23">
        <v>27</v>
      </c>
      <c r="K71" s="23">
        <v>7</v>
      </c>
      <c r="L71" s="28">
        <v>7</v>
      </c>
    </row>
    <row r="72" spans="1:12" x14ac:dyDescent="0.25">
      <c r="A72" s="20">
        <v>27</v>
      </c>
      <c r="B72" s="27">
        <v>45114</v>
      </c>
      <c r="C72" s="23">
        <v>4</v>
      </c>
      <c r="D72" s="23">
        <v>13</v>
      </c>
      <c r="E72" s="23">
        <v>6</v>
      </c>
      <c r="F72" s="23">
        <v>8</v>
      </c>
      <c r="G72" s="23">
        <v>7</v>
      </c>
      <c r="H72" s="23">
        <v>6</v>
      </c>
      <c r="I72" s="23">
        <v>11</v>
      </c>
      <c r="J72" s="23">
        <v>26</v>
      </c>
      <c r="K72" s="23">
        <v>10</v>
      </c>
      <c r="L72" s="28">
        <v>4</v>
      </c>
    </row>
    <row r="73" spans="1:12" x14ac:dyDescent="0.25">
      <c r="A73" s="20">
        <v>28</v>
      </c>
      <c r="B73" s="27">
        <v>45121</v>
      </c>
      <c r="C73" s="23">
        <v>5</v>
      </c>
      <c r="D73" s="23">
        <v>5</v>
      </c>
      <c r="E73" s="23">
        <v>8</v>
      </c>
      <c r="F73" s="23">
        <v>5</v>
      </c>
      <c r="G73" s="23">
        <v>9</v>
      </c>
      <c r="H73" s="23">
        <v>12</v>
      </c>
      <c r="I73" s="23">
        <v>9</v>
      </c>
      <c r="J73" s="23">
        <v>11</v>
      </c>
      <c r="K73" s="23">
        <v>9</v>
      </c>
      <c r="L73" s="28">
        <v>4</v>
      </c>
    </row>
    <row r="74" spans="1:12" x14ac:dyDescent="0.25">
      <c r="A74" s="20">
        <v>29</v>
      </c>
      <c r="B74" s="27">
        <v>45128</v>
      </c>
      <c r="C74" s="23">
        <v>4</v>
      </c>
      <c r="D74" s="23">
        <v>0</v>
      </c>
      <c r="E74" s="23">
        <v>6</v>
      </c>
      <c r="F74" s="23">
        <v>8</v>
      </c>
      <c r="G74" s="23">
        <v>4</v>
      </c>
      <c r="H74" s="23">
        <v>9</v>
      </c>
      <c r="I74" s="23">
        <v>4</v>
      </c>
      <c r="J74" s="23">
        <v>20</v>
      </c>
      <c r="K74" s="23">
        <v>6</v>
      </c>
      <c r="L74" s="28">
        <v>9</v>
      </c>
    </row>
    <row r="75" spans="1:12" x14ac:dyDescent="0.25">
      <c r="A75" s="20">
        <v>30</v>
      </c>
      <c r="B75" s="27">
        <v>45135</v>
      </c>
      <c r="C75" s="23">
        <v>2</v>
      </c>
      <c r="D75" s="23">
        <v>8</v>
      </c>
      <c r="E75" s="23">
        <v>6</v>
      </c>
      <c r="F75" s="23">
        <v>4</v>
      </c>
      <c r="G75" s="23">
        <v>6</v>
      </c>
      <c r="H75" s="23">
        <v>8</v>
      </c>
      <c r="I75" s="23">
        <v>5</v>
      </c>
      <c r="J75" s="23">
        <v>10</v>
      </c>
      <c r="K75" s="23">
        <v>6</v>
      </c>
      <c r="L75" s="28">
        <v>8</v>
      </c>
    </row>
    <row r="76" spans="1:12" x14ac:dyDescent="0.25">
      <c r="A76" s="20">
        <v>31</v>
      </c>
      <c r="B76" s="27">
        <v>45142</v>
      </c>
      <c r="C76" s="23">
        <v>7</v>
      </c>
      <c r="D76" s="23">
        <v>9</v>
      </c>
      <c r="E76" s="23">
        <v>14</v>
      </c>
      <c r="F76" s="23">
        <v>4</v>
      </c>
      <c r="G76" s="23">
        <v>10</v>
      </c>
      <c r="H76" s="23">
        <v>5</v>
      </c>
      <c r="I76" s="23">
        <v>4</v>
      </c>
      <c r="J76" s="23">
        <v>5</v>
      </c>
      <c r="K76" s="23">
        <v>7</v>
      </c>
      <c r="L76" s="28">
        <v>3</v>
      </c>
    </row>
    <row r="77" spans="1:12" x14ac:dyDescent="0.25">
      <c r="A77" s="20">
        <v>32</v>
      </c>
      <c r="B77" s="27">
        <v>45149</v>
      </c>
      <c r="C77" s="23">
        <v>9</v>
      </c>
      <c r="D77" s="23">
        <v>13</v>
      </c>
      <c r="E77" s="23">
        <v>10</v>
      </c>
      <c r="F77" s="23">
        <v>5</v>
      </c>
      <c r="G77" s="23">
        <v>11</v>
      </c>
      <c r="H77" s="23">
        <v>17</v>
      </c>
      <c r="I77" s="23">
        <v>14</v>
      </c>
      <c r="J77" s="23">
        <v>13</v>
      </c>
      <c r="K77" s="23">
        <v>9</v>
      </c>
      <c r="L77" s="28">
        <v>7</v>
      </c>
    </row>
    <row r="78" spans="1:12" x14ac:dyDescent="0.25">
      <c r="A78" s="20">
        <v>33</v>
      </c>
      <c r="B78" s="27">
        <v>45156</v>
      </c>
      <c r="C78" s="23">
        <v>5</v>
      </c>
      <c r="D78" s="23">
        <v>16</v>
      </c>
      <c r="E78" s="23">
        <v>17</v>
      </c>
      <c r="F78" s="23">
        <v>16</v>
      </c>
      <c r="G78" s="23">
        <v>13</v>
      </c>
      <c r="H78" s="23">
        <v>18</v>
      </c>
      <c r="I78" s="23">
        <v>6</v>
      </c>
      <c r="J78" s="23">
        <v>13</v>
      </c>
      <c r="K78" s="23">
        <v>11</v>
      </c>
      <c r="L78" s="28">
        <v>10</v>
      </c>
    </row>
    <row r="79" spans="1:12" x14ac:dyDescent="0.25">
      <c r="A79" s="20">
        <v>34</v>
      </c>
      <c r="B79" s="27">
        <v>45163</v>
      </c>
      <c r="C79" s="23">
        <v>11</v>
      </c>
      <c r="D79" s="23">
        <v>14</v>
      </c>
      <c r="E79" s="23">
        <v>21</v>
      </c>
      <c r="F79" s="23">
        <v>19</v>
      </c>
      <c r="G79" s="23">
        <v>16</v>
      </c>
      <c r="H79" s="23">
        <v>28</v>
      </c>
      <c r="I79" s="23">
        <v>14</v>
      </c>
      <c r="J79" s="23">
        <v>31</v>
      </c>
      <c r="K79" s="23">
        <v>24</v>
      </c>
      <c r="L79" s="28">
        <v>25</v>
      </c>
    </row>
    <row r="80" spans="1:12" x14ac:dyDescent="0.25">
      <c r="A80" s="20">
        <v>35</v>
      </c>
      <c r="B80" s="27">
        <v>45170</v>
      </c>
      <c r="C80" s="23">
        <v>7</v>
      </c>
      <c r="D80" s="23">
        <v>26</v>
      </c>
      <c r="E80" s="23">
        <v>10</v>
      </c>
      <c r="F80" s="23">
        <v>10</v>
      </c>
      <c r="G80" s="23">
        <v>16</v>
      </c>
      <c r="H80" s="23">
        <v>16</v>
      </c>
      <c r="I80" s="23">
        <v>12</v>
      </c>
      <c r="J80" s="23">
        <v>25</v>
      </c>
      <c r="K80" s="23">
        <v>14</v>
      </c>
      <c r="L80" s="28">
        <v>18</v>
      </c>
    </row>
    <row r="81" spans="1:12" x14ac:dyDescent="0.25">
      <c r="A81" s="10"/>
      <c r="B81" s="10"/>
      <c r="C81" s="10"/>
      <c r="D81" s="10"/>
      <c r="E81" s="10"/>
      <c r="F81" s="10"/>
      <c r="G81" s="10"/>
      <c r="H81" s="10"/>
      <c r="I81" s="10"/>
      <c r="J81" s="10"/>
      <c r="K81" s="10"/>
      <c r="L81" s="10"/>
    </row>
  </sheetData>
  <sheetProtection sheet="1" formatCells="0" formatColumns="0"/>
  <pageMargins left="0.7" right="0.7" top="0.75" bottom="0.75" header="0.3" footer="0.3"/>
  <pageSetup paperSize="9" orientation="portrait" horizontalDpi="300" verticalDpi="300"/>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94"/>
  <sheetViews>
    <sheetView showGridLines="0" workbookViewId="0"/>
  </sheetViews>
  <sheetFormatPr defaultColWidth="10.90625" defaultRowHeight="15" x14ac:dyDescent="0.25"/>
  <cols>
    <col min="1" max="1" width="14.1796875" customWidth="1"/>
    <col min="2" max="23" width="13.1796875" customWidth="1"/>
  </cols>
  <sheetData>
    <row r="1" spans="1:12" ht="17.399999999999999" x14ac:dyDescent="0.3">
      <c r="A1" s="1" t="s">
        <v>239</v>
      </c>
    </row>
    <row r="2" spans="1:12" ht="17.399999999999999" x14ac:dyDescent="0.3">
      <c r="A2" s="1" t="s">
        <v>240</v>
      </c>
    </row>
    <row r="3" spans="1:12" x14ac:dyDescent="0.25">
      <c r="A3" t="s">
        <v>45</v>
      </c>
    </row>
    <row r="4" spans="1:12" x14ac:dyDescent="0.25">
      <c r="A4" t="s">
        <v>114</v>
      </c>
    </row>
    <row r="5" spans="1:12" x14ac:dyDescent="0.25">
      <c r="A5" t="s">
        <v>115</v>
      </c>
    </row>
    <row r="6" spans="1:12" ht="31.2" x14ac:dyDescent="0.25">
      <c r="A6" s="12" t="s">
        <v>116</v>
      </c>
      <c r="B6" s="11" t="s">
        <v>131</v>
      </c>
      <c r="C6" s="21" t="s">
        <v>196</v>
      </c>
      <c r="D6" s="21" t="s">
        <v>197</v>
      </c>
      <c r="E6" s="21" t="s">
        <v>198</v>
      </c>
      <c r="F6" s="21" t="s">
        <v>199</v>
      </c>
      <c r="G6" s="21" t="s">
        <v>200</v>
      </c>
      <c r="H6" s="21" t="s">
        <v>201</v>
      </c>
      <c r="I6" s="21" t="s">
        <v>202</v>
      </c>
      <c r="J6" s="21" t="s">
        <v>203</v>
      </c>
      <c r="K6" s="21" t="s">
        <v>204</v>
      </c>
      <c r="L6" s="24" t="s">
        <v>178</v>
      </c>
    </row>
    <row r="7" spans="1:12" x14ac:dyDescent="0.25">
      <c r="A7" s="19">
        <v>1</v>
      </c>
      <c r="B7" s="25">
        <v>44568</v>
      </c>
      <c r="C7" s="22">
        <v>42</v>
      </c>
      <c r="D7" s="22">
        <v>210</v>
      </c>
      <c r="E7" s="22">
        <v>107</v>
      </c>
      <c r="F7" s="22">
        <v>106</v>
      </c>
      <c r="G7" s="22">
        <v>126</v>
      </c>
      <c r="H7" s="22">
        <v>131</v>
      </c>
      <c r="I7" s="22">
        <v>224</v>
      </c>
      <c r="J7" s="22">
        <v>131</v>
      </c>
      <c r="K7" s="22">
        <v>79</v>
      </c>
      <c r="L7" s="26">
        <v>74</v>
      </c>
    </row>
    <row r="8" spans="1:12" x14ac:dyDescent="0.25">
      <c r="A8" s="20">
        <v>2</v>
      </c>
      <c r="B8" s="27">
        <v>44575</v>
      </c>
      <c r="C8" s="23">
        <v>77</v>
      </c>
      <c r="D8" s="23">
        <v>239</v>
      </c>
      <c r="E8" s="23">
        <v>138</v>
      </c>
      <c r="F8" s="23">
        <v>125</v>
      </c>
      <c r="G8" s="23">
        <v>148</v>
      </c>
      <c r="H8" s="23">
        <v>162</v>
      </c>
      <c r="I8" s="23">
        <v>253</v>
      </c>
      <c r="J8" s="23">
        <v>155</v>
      </c>
      <c r="K8" s="23">
        <v>87</v>
      </c>
      <c r="L8" s="28">
        <v>81</v>
      </c>
    </row>
    <row r="9" spans="1:12" x14ac:dyDescent="0.25">
      <c r="A9" s="20">
        <v>3</v>
      </c>
      <c r="B9" s="27">
        <v>44582</v>
      </c>
      <c r="C9" s="23">
        <v>104</v>
      </c>
      <c r="D9" s="23">
        <v>225</v>
      </c>
      <c r="E9" s="23">
        <v>165</v>
      </c>
      <c r="F9" s="23">
        <v>121</v>
      </c>
      <c r="G9" s="23">
        <v>150</v>
      </c>
      <c r="H9" s="23">
        <v>142</v>
      </c>
      <c r="I9" s="23">
        <v>207</v>
      </c>
      <c r="J9" s="23">
        <v>180</v>
      </c>
      <c r="K9" s="23">
        <v>87</v>
      </c>
      <c r="L9" s="28">
        <v>94</v>
      </c>
    </row>
    <row r="10" spans="1:12" x14ac:dyDescent="0.25">
      <c r="A10" s="20">
        <v>4</v>
      </c>
      <c r="B10" s="27">
        <v>44589</v>
      </c>
      <c r="C10" s="23">
        <v>96</v>
      </c>
      <c r="D10" s="23">
        <v>206</v>
      </c>
      <c r="E10" s="23">
        <v>147</v>
      </c>
      <c r="F10" s="23">
        <v>137</v>
      </c>
      <c r="G10" s="23">
        <v>141</v>
      </c>
      <c r="H10" s="23">
        <v>133</v>
      </c>
      <c r="I10" s="23">
        <v>157</v>
      </c>
      <c r="J10" s="23">
        <v>139</v>
      </c>
      <c r="K10" s="23">
        <v>97</v>
      </c>
      <c r="L10" s="28">
        <v>64</v>
      </c>
    </row>
    <row r="11" spans="1:12" x14ac:dyDescent="0.25">
      <c r="A11" s="20">
        <v>5</v>
      </c>
      <c r="B11" s="27">
        <v>44596</v>
      </c>
      <c r="C11" s="23">
        <v>84</v>
      </c>
      <c r="D11" s="23">
        <v>167</v>
      </c>
      <c r="E11" s="23">
        <v>114</v>
      </c>
      <c r="F11" s="23">
        <v>121</v>
      </c>
      <c r="G11" s="23">
        <v>151</v>
      </c>
      <c r="H11" s="23">
        <v>125</v>
      </c>
      <c r="I11" s="23">
        <v>122</v>
      </c>
      <c r="J11" s="23">
        <v>154</v>
      </c>
      <c r="K11" s="23">
        <v>110</v>
      </c>
      <c r="L11" s="28">
        <v>55</v>
      </c>
    </row>
    <row r="12" spans="1:12" x14ac:dyDescent="0.25">
      <c r="A12" s="20">
        <v>6</v>
      </c>
      <c r="B12" s="27">
        <v>44603</v>
      </c>
      <c r="C12" s="23">
        <v>61</v>
      </c>
      <c r="D12" s="23">
        <v>130</v>
      </c>
      <c r="E12" s="23">
        <v>91</v>
      </c>
      <c r="F12" s="23">
        <v>63</v>
      </c>
      <c r="G12" s="23">
        <v>115</v>
      </c>
      <c r="H12" s="23">
        <v>106</v>
      </c>
      <c r="I12" s="23">
        <v>77</v>
      </c>
      <c r="J12" s="23">
        <v>157</v>
      </c>
      <c r="K12" s="23">
        <v>88</v>
      </c>
      <c r="L12" s="28">
        <v>41</v>
      </c>
    </row>
    <row r="13" spans="1:12" x14ac:dyDescent="0.25">
      <c r="A13" s="20">
        <v>7</v>
      </c>
      <c r="B13" s="27">
        <v>44610</v>
      </c>
      <c r="C13" s="23">
        <v>42</v>
      </c>
      <c r="D13" s="23">
        <v>100</v>
      </c>
      <c r="E13" s="23">
        <v>83</v>
      </c>
      <c r="F13" s="23">
        <v>73</v>
      </c>
      <c r="G13" s="23">
        <v>92</v>
      </c>
      <c r="H13" s="23">
        <v>100</v>
      </c>
      <c r="I13" s="23">
        <v>80</v>
      </c>
      <c r="J13" s="23">
        <v>143</v>
      </c>
      <c r="K13" s="23">
        <v>73</v>
      </c>
      <c r="L13" s="28">
        <v>49</v>
      </c>
    </row>
    <row r="14" spans="1:12" x14ac:dyDescent="0.25">
      <c r="A14" s="20">
        <v>8</v>
      </c>
      <c r="B14" s="27">
        <v>44617</v>
      </c>
      <c r="C14" s="23">
        <v>26</v>
      </c>
      <c r="D14" s="23">
        <v>78</v>
      </c>
      <c r="E14" s="23">
        <v>67</v>
      </c>
      <c r="F14" s="23">
        <v>73</v>
      </c>
      <c r="G14" s="23">
        <v>82</v>
      </c>
      <c r="H14" s="23">
        <v>75</v>
      </c>
      <c r="I14" s="23">
        <v>60</v>
      </c>
      <c r="J14" s="23">
        <v>125</v>
      </c>
      <c r="K14" s="23">
        <v>79</v>
      </c>
      <c r="L14" s="28">
        <v>46</v>
      </c>
    </row>
    <row r="15" spans="1:12" x14ac:dyDescent="0.25">
      <c r="A15" s="20">
        <v>9</v>
      </c>
      <c r="B15" s="27">
        <v>44624</v>
      </c>
      <c r="C15" s="23">
        <v>34</v>
      </c>
      <c r="D15" s="23">
        <v>86</v>
      </c>
      <c r="E15" s="23">
        <v>49</v>
      </c>
      <c r="F15" s="23">
        <v>53</v>
      </c>
      <c r="G15" s="23">
        <v>72</v>
      </c>
      <c r="H15" s="23">
        <v>83</v>
      </c>
      <c r="I15" s="23">
        <v>55</v>
      </c>
      <c r="J15" s="23">
        <v>128</v>
      </c>
      <c r="K15" s="23">
        <v>54</v>
      </c>
      <c r="L15" s="28">
        <v>29</v>
      </c>
    </row>
    <row r="16" spans="1:12" x14ac:dyDescent="0.25">
      <c r="A16" s="20">
        <v>10</v>
      </c>
      <c r="B16" s="27">
        <v>44631</v>
      </c>
      <c r="C16" s="23">
        <v>23</v>
      </c>
      <c r="D16" s="23">
        <v>72</v>
      </c>
      <c r="E16" s="23">
        <v>57</v>
      </c>
      <c r="F16" s="23">
        <v>65</v>
      </c>
      <c r="G16" s="23">
        <v>80</v>
      </c>
      <c r="H16" s="23">
        <v>71</v>
      </c>
      <c r="I16" s="23">
        <v>55</v>
      </c>
      <c r="J16" s="23">
        <v>114</v>
      </c>
      <c r="K16" s="23">
        <v>75</v>
      </c>
      <c r="L16" s="28">
        <v>31</v>
      </c>
    </row>
    <row r="17" spans="1:12" x14ac:dyDescent="0.25">
      <c r="A17" s="20">
        <v>11</v>
      </c>
      <c r="B17" s="27">
        <v>44638</v>
      </c>
      <c r="C17" s="23">
        <v>22</v>
      </c>
      <c r="D17" s="23">
        <v>81</v>
      </c>
      <c r="E17" s="23">
        <v>80</v>
      </c>
      <c r="F17" s="23">
        <v>65</v>
      </c>
      <c r="G17" s="23">
        <v>75</v>
      </c>
      <c r="H17" s="23">
        <v>87</v>
      </c>
      <c r="I17" s="23">
        <v>79</v>
      </c>
      <c r="J17" s="23">
        <v>138</v>
      </c>
      <c r="K17" s="23">
        <v>103</v>
      </c>
      <c r="L17" s="28">
        <v>42</v>
      </c>
    </row>
    <row r="18" spans="1:12" x14ac:dyDescent="0.25">
      <c r="A18" s="20">
        <v>12</v>
      </c>
      <c r="B18" s="27">
        <v>44645</v>
      </c>
      <c r="C18" s="23">
        <v>32</v>
      </c>
      <c r="D18" s="23">
        <v>124</v>
      </c>
      <c r="E18" s="23">
        <v>95</v>
      </c>
      <c r="F18" s="23">
        <v>80</v>
      </c>
      <c r="G18" s="23">
        <v>93</v>
      </c>
      <c r="H18" s="23">
        <v>104</v>
      </c>
      <c r="I18" s="23">
        <v>71</v>
      </c>
      <c r="J18" s="23">
        <v>156</v>
      </c>
      <c r="K18" s="23">
        <v>118</v>
      </c>
      <c r="L18" s="28">
        <v>69</v>
      </c>
    </row>
    <row r="19" spans="1:12" x14ac:dyDescent="0.25">
      <c r="A19" s="20">
        <v>13</v>
      </c>
      <c r="B19" s="27">
        <v>44652</v>
      </c>
      <c r="C19" s="23">
        <v>42</v>
      </c>
      <c r="D19" s="23">
        <v>133</v>
      </c>
      <c r="E19" s="23">
        <v>117</v>
      </c>
      <c r="F19" s="23">
        <v>88</v>
      </c>
      <c r="G19" s="23">
        <v>99</v>
      </c>
      <c r="H19" s="23">
        <v>135</v>
      </c>
      <c r="I19" s="23">
        <v>77</v>
      </c>
      <c r="J19" s="23">
        <v>166</v>
      </c>
      <c r="K19" s="23">
        <v>154</v>
      </c>
      <c r="L19" s="28">
        <v>55</v>
      </c>
    </row>
    <row r="20" spans="1:12" x14ac:dyDescent="0.25">
      <c r="A20" s="20">
        <v>14</v>
      </c>
      <c r="B20" s="27">
        <v>44659</v>
      </c>
      <c r="C20" s="23">
        <v>60</v>
      </c>
      <c r="D20" s="23">
        <v>152</v>
      </c>
      <c r="E20" s="23">
        <v>129</v>
      </c>
      <c r="F20" s="23">
        <v>109</v>
      </c>
      <c r="G20" s="23">
        <v>111</v>
      </c>
      <c r="H20" s="23">
        <v>137</v>
      </c>
      <c r="I20" s="23">
        <v>94</v>
      </c>
      <c r="J20" s="23">
        <v>197</v>
      </c>
      <c r="K20" s="23">
        <v>185</v>
      </c>
      <c r="L20" s="28">
        <v>70</v>
      </c>
    </row>
    <row r="21" spans="1:12" x14ac:dyDescent="0.25">
      <c r="A21" s="20">
        <v>15</v>
      </c>
      <c r="B21" s="27">
        <v>44666</v>
      </c>
      <c r="C21" s="23">
        <v>59</v>
      </c>
      <c r="D21" s="23">
        <v>133</v>
      </c>
      <c r="E21" s="23">
        <v>133</v>
      </c>
      <c r="F21" s="23">
        <v>107</v>
      </c>
      <c r="G21" s="23">
        <v>138</v>
      </c>
      <c r="H21" s="23">
        <v>120</v>
      </c>
      <c r="I21" s="23">
        <v>90</v>
      </c>
      <c r="J21" s="23">
        <v>188</v>
      </c>
      <c r="K21" s="23">
        <v>150</v>
      </c>
      <c r="L21" s="28">
        <v>65</v>
      </c>
    </row>
    <row r="22" spans="1:12" x14ac:dyDescent="0.25">
      <c r="A22" s="20">
        <v>16</v>
      </c>
      <c r="B22" s="27">
        <v>44673</v>
      </c>
      <c r="C22" s="23">
        <v>46</v>
      </c>
      <c r="D22" s="23">
        <v>131</v>
      </c>
      <c r="E22" s="23">
        <v>108</v>
      </c>
      <c r="F22" s="23">
        <v>82</v>
      </c>
      <c r="G22" s="23">
        <v>107</v>
      </c>
      <c r="H22" s="23">
        <v>110</v>
      </c>
      <c r="I22" s="23">
        <v>82</v>
      </c>
      <c r="J22" s="23">
        <v>154</v>
      </c>
      <c r="K22" s="23">
        <v>127</v>
      </c>
      <c r="L22" s="28">
        <v>65</v>
      </c>
    </row>
    <row r="23" spans="1:12" x14ac:dyDescent="0.25">
      <c r="A23" s="20">
        <v>17</v>
      </c>
      <c r="B23" s="27">
        <v>44680</v>
      </c>
      <c r="C23" s="23">
        <v>41</v>
      </c>
      <c r="D23" s="23">
        <v>105</v>
      </c>
      <c r="E23" s="23">
        <v>78</v>
      </c>
      <c r="F23" s="23">
        <v>60</v>
      </c>
      <c r="G23" s="23">
        <v>102</v>
      </c>
      <c r="H23" s="23">
        <v>88</v>
      </c>
      <c r="I23" s="23">
        <v>55</v>
      </c>
      <c r="J23" s="23">
        <v>121</v>
      </c>
      <c r="K23" s="23">
        <v>89</v>
      </c>
      <c r="L23" s="28">
        <v>56</v>
      </c>
    </row>
    <row r="24" spans="1:12" x14ac:dyDescent="0.25">
      <c r="A24" s="20">
        <v>18</v>
      </c>
      <c r="B24" s="27">
        <v>44687</v>
      </c>
      <c r="C24" s="23">
        <v>31</v>
      </c>
      <c r="D24" s="23">
        <v>104</v>
      </c>
      <c r="E24" s="23">
        <v>72</v>
      </c>
      <c r="F24" s="23">
        <v>57</v>
      </c>
      <c r="G24" s="23">
        <v>71</v>
      </c>
      <c r="H24" s="23">
        <v>84</v>
      </c>
      <c r="I24" s="23">
        <v>54</v>
      </c>
      <c r="J24" s="23">
        <v>80</v>
      </c>
      <c r="K24" s="23">
        <v>55</v>
      </c>
      <c r="L24" s="28">
        <v>27</v>
      </c>
    </row>
    <row r="25" spans="1:12" x14ac:dyDescent="0.25">
      <c r="A25" s="20">
        <v>19</v>
      </c>
      <c r="B25" s="27">
        <v>44694</v>
      </c>
      <c r="C25" s="23">
        <v>33</v>
      </c>
      <c r="D25" s="23">
        <v>57</v>
      </c>
      <c r="E25" s="23">
        <v>47</v>
      </c>
      <c r="F25" s="23">
        <v>50</v>
      </c>
      <c r="G25" s="23">
        <v>56</v>
      </c>
      <c r="H25" s="23">
        <v>82</v>
      </c>
      <c r="I25" s="23">
        <v>40</v>
      </c>
      <c r="J25" s="23">
        <v>92</v>
      </c>
      <c r="K25" s="23">
        <v>39</v>
      </c>
      <c r="L25" s="28">
        <v>28</v>
      </c>
    </row>
    <row r="26" spans="1:12" x14ac:dyDescent="0.25">
      <c r="A26" s="20">
        <v>20</v>
      </c>
      <c r="B26" s="27">
        <v>44701</v>
      </c>
      <c r="C26" s="23">
        <v>22</v>
      </c>
      <c r="D26" s="23">
        <v>50</v>
      </c>
      <c r="E26" s="23">
        <v>43</v>
      </c>
      <c r="F26" s="23">
        <v>44</v>
      </c>
      <c r="G26" s="23">
        <v>48</v>
      </c>
      <c r="H26" s="23">
        <v>50</v>
      </c>
      <c r="I26" s="23">
        <v>22</v>
      </c>
      <c r="J26" s="23">
        <v>43</v>
      </c>
      <c r="K26" s="23">
        <v>20</v>
      </c>
      <c r="L26" s="28">
        <v>30</v>
      </c>
    </row>
    <row r="27" spans="1:12" x14ac:dyDescent="0.25">
      <c r="A27" s="20">
        <v>21</v>
      </c>
      <c r="B27" s="27">
        <v>44708</v>
      </c>
      <c r="C27" s="23">
        <v>13</v>
      </c>
      <c r="D27" s="23">
        <v>36</v>
      </c>
      <c r="E27" s="23">
        <v>30</v>
      </c>
      <c r="F27" s="23">
        <v>35</v>
      </c>
      <c r="G27" s="23">
        <v>30</v>
      </c>
      <c r="H27" s="23">
        <v>26</v>
      </c>
      <c r="I27" s="23">
        <v>43</v>
      </c>
      <c r="J27" s="23">
        <v>38</v>
      </c>
      <c r="K27" s="23">
        <v>25</v>
      </c>
      <c r="L27" s="28">
        <v>24</v>
      </c>
    </row>
    <row r="28" spans="1:12" x14ac:dyDescent="0.25">
      <c r="A28" s="20">
        <v>22</v>
      </c>
      <c r="B28" s="27">
        <v>44715</v>
      </c>
      <c r="C28" s="23">
        <v>14</v>
      </c>
      <c r="D28" s="23">
        <v>33</v>
      </c>
      <c r="E28" s="23">
        <v>23</v>
      </c>
      <c r="F28" s="23">
        <v>13</v>
      </c>
      <c r="G28" s="23">
        <v>27</v>
      </c>
      <c r="H28" s="23">
        <v>35</v>
      </c>
      <c r="I28" s="23">
        <v>21</v>
      </c>
      <c r="J28" s="23">
        <v>27</v>
      </c>
      <c r="K28" s="23">
        <v>27</v>
      </c>
      <c r="L28" s="28">
        <v>13</v>
      </c>
    </row>
    <row r="29" spans="1:12" x14ac:dyDescent="0.25">
      <c r="A29" s="20">
        <v>23</v>
      </c>
      <c r="B29" s="27">
        <v>44722</v>
      </c>
      <c r="C29" s="23">
        <v>16</v>
      </c>
      <c r="D29" s="23">
        <v>23</v>
      </c>
      <c r="E29" s="23">
        <v>15</v>
      </c>
      <c r="F29" s="23">
        <v>19</v>
      </c>
      <c r="G29" s="23">
        <v>19</v>
      </c>
      <c r="H29" s="23">
        <v>30</v>
      </c>
      <c r="I29" s="23">
        <v>25</v>
      </c>
      <c r="J29" s="23">
        <v>35</v>
      </c>
      <c r="K29" s="23">
        <v>19</v>
      </c>
      <c r="L29" s="28">
        <v>11</v>
      </c>
    </row>
    <row r="30" spans="1:12" x14ac:dyDescent="0.25">
      <c r="A30" s="20">
        <v>24</v>
      </c>
      <c r="B30" s="27">
        <v>44729</v>
      </c>
      <c r="C30" s="23">
        <v>14</v>
      </c>
      <c r="D30" s="23">
        <v>33</v>
      </c>
      <c r="E30" s="23">
        <v>24</v>
      </c>
      <c r="F30" s="23">
        <v>21</v>
      </c>
      <c r="G30" s="23">
        <v>21</v>
      </c>
      <c r="H30" s="23">
        <v>32</v>
      </c>
      <c r="I30" s="23">
        <v>26</v>
      </c>
      <c r="J30" s="23">
        <v>39</v>
      </c>
      <c r="K30" s="23">
        <v>22</v>
      </c>
      <c r="L30" s="28">
        <v>16</v>
      </c>
    </row>
    <row r="31" spans="1:12" x14ac:dyDescent="0.25">
      <c r="A31" s="20">
        <v>25</v>
      </c>
      <c r="B31" s="27">
        <v>44736</v>
      </c>
      <c r="C31" s="23">
        <v>12</v>
      </c>
      <c r="D31" s="23">
        <v>46</v>
      </c>
      <c r="E31" s="23">
        <v>25</v>
      </c>
      <c r="F31" s="23">
        <v>25</v>
      </c>
      <c r="G31" s="23">
        <v>32</v>
      </c>
      <c r="H31" s="23">
        <v>39</v>
      </c>
      <c r="I31" s="23">
        <v>41</v>
      </c>
      <c r="J31" s="23">
        <v>42</v>
      </c>
      <c r="K31" s="23">
        <v>26</v>
      </c>
      <c r="L31" s="28">
        <v>18</v>
      </c>
    </row>
    <row r="32" spans="1:12" x14ac:dyDescent="0.25">
      <c r="A32" s="20">
        <v>26</v>
      </c>
      <c r="B32" s="27">
        <v>44743</v>
      </c>
      <c r="C32" s="23">
        <v>19</v>
      </c>
      <c r="D32" s="23">
        <v>52</v>
      </c>
      <c r="E32" s="23">
        <v>40</v>
      </c>
      <c r="F32" s="23">
        <v>46</v>
      </c>
      <c r="G32" s="23">
        <v>32</v>
      </c>
      <c r="H32" s="23">
        <v>51</v>
      </c>
      <c r="I32" s="23">
        <v>39</v>
      </c>
      <c r="J32" s="23">
        <v>69</v>
      </c>
      <c r="K32" s="23">
        <v>40</v>
      </c>
      <c r="L32" s="28">
        <v>25</v>
      </c>
    </row>
    <row r="33" spans="1:12" x14ac:dyDescent="0.25">
      <c r="A33" s="20">
        <v>27</v>
      </c>
      <c r="B33" s="27">
        <v>44750</v>
      </c>
      <c r="C33" s="23">
        <v>34</v>
      </c>
      <c r="D33" s="23">
        <v>70</v>
      </c>
      <c r="E33" s="23">
        <v>54</v>
      </c>
      <c r="F33" s="23">
        <v>47</v>
      </c>
      <c r="G33" s="23">
        <v>58</v>
      </c>
      <c r="H33" s="23">
        <v>64</v>
      </c>
      <c r="I33" s="23">
        <v>69</v>
      </c>
      <c r="J33" s="23">
        <v>83</v>
      </c>
      <c r="K33" s="23">
        <v>53</v>
      </c>
      <c r="L33" s="28">
        <v>26</v>
      </c>
    </row>
    <row r="34" spans="1:12" x14ac:dyDescent="0.25">
      <c r="A34" s="20">
        <v>28</v>
      </c>
      <c r="B34" s="27">
        <v>44757</v>
      </c>
      <c r="C34" s="23">
        <v>30</v>
      </c>
      <c r="D34" s="23">
        <v>78</v>
      </c>
      <c r="E34" s="23">
        <v>64</v>
      </c>
      <c r="F34" s="23">
        <v>65</v>
      </c>
      <c r="G34" s="23">
        <v>99</v>
      </c>
      <c r="H34" s="23">
        <v>88</v>
      </c>
      <c r="I34" s="23">
        <v>76</v>
      </c>
      <c r="J34" s="23">
        <v>116</v>
      </c>
      <c r="K34" s="23">
        <v>83</v>
      </c>
      <c r="L34" s="28">
        <v>53</v>
      </c>
    </row>
    <row r="35" spans="1:12" x14ac:dyDescent="0.25">
      <c r="A35" s="20">
        <v>29</v>
      </c>
      <c r="B35" s="27">
        <v>44764</v>
      </c>
      <c r="C35" s="23">
        <v>45</v>
      </c>
      <c r="D35" s="23">
        <v>102</v>
      </c>
      <c r="E35" s="23">
        <v>92</v>
      </c>
      <c r="F35" s="23">
        <v>108</v>
      </c>
      <c r="G35" s="23">
        <v>107</v>
      </c>
      <c r="H35" s="23">
        <v>105</v>
      </c>
      <c r="I35" s="23">
        <v>99</v>
      </c>
      <c r="J35" s="23">
        <v>137</v>
      </c>
      <c r="K35" s="23">
        <v>92</v>
      </c>
      <c r="L35" s="28">
        <v>60</v>
      </c>
    </row>
    <row r="36" spans="1:12" x14ac:dyDescent="0.25">
      <c r="A36" s="20">
        <v>30</v>
      </c>
      <c r="B36" s="27">
        <v>44771</v>
      </c>
      <c r="C36" s="23">
        <v>35</v>
      </c>
      <c r="D36" s="23">
        <v>93</v>
      </c>
      <c r="E36" s="23">
        <v>73</v>
      </c>
      <c r="F36" s="23">
        <v>81</v>
      </c>
      <c r="G36" s="23">
        <v>91</v>
      </c>
      <c r="H36" s="23">
        <v>85</v>
      </c>
      <c r="I36" s="23">
        <v>76</v>
      </c>
      <c r="J36" s="23">
        <v>113</v>
      </c>
      <c r="K36" s="23">
        <v>53</v>
      </c>
      <c r="L36" s="28">
        <v>44</v>
      </c>
    </row>
    <row r="37" spans="1:12" x14ac:dyDescent="0.25">
      <c r="A37" s="20">
        <v>31</v>
      </c>
      <c r="B37" s="27">
        <v>44778</v>
      </c>
      <c r="C37" s="23">
        <v>43</v>
      </c>
      <c r="D37" s="23">
        <v>72</v>
      </c>
      <c r="E37" s="23">
        <v>64</v>
      </c>
      <c r="F37" s="23">
        <v>52</v>
      </c>
      <c r="G37" s="23">
        <v>62</v>
      </c>
      <c r="H37" s="23">
        <v>58</v>
      </c>
      <c r="I37" s="23">
        <v>56</v>
      </c>
      <c r="J37" s="23">
        <v>85</v>
      </c>
      <c r="K37" s="23">
        <v>51</v>
      </c>
      <c r="L37" s="28">
        <v>28</v>
      </c>
    </row>
    <row r="38" spans="1:12" x14ac:dyDescent="0.25">
      <c r="A38" s="20">
        <v>32</v>
      </c>
      <c r="B38" s="27">
        <v>44785</v>
      </c>
      <c r="C38" s="23">
        <v>28</v>
      </c>
      <c r="D38" s="23">
        <v>91</v>
      </c>
      <c r="E38" s="23">
        <v>63</v>
      </c>
      <c r="F38" s="23">
        <v>48</v>
      </c>
      <c r="G38" s="23">
        <v>59</v>
      </c>
      <c r="H38" s="23">
        <v>56</v>
      </c>
      <c r="I38" s="23">
        <v>71</v>
      </c>
      <c r="J38" s="23">
        <v>76</v>
      </c>
      <c r="K38" s="23">
        <v>52</v>
      </c>
      <c r="L38" s="28">
        <v>24</v>
      </c>
    </row>
    <row r="39" spans="1:12" x14ac:dyDescent="0.25">
      <c r="A39" s="20">
        <v>33</v>
      </c>
      <c r="B39" s="27">
        <v>44792</v>
      </c>
      <c r="C39" s="23">
        <v>25</v>
      </c>
      <c r="D39" s="23">
        <v>58</v>
      </c>
      <c r="E39" s="23">
        <v>36</v>
      </c>
      <c r="F39" s="23">
        <v>53</v>
      </c>
      <c r="G39" s="23">
        <v>61</v>
      </c>
      <c r="H39" s="23">
        <v>47</v>
      </c>
      <c r="I39" s="23">
        <v>50</v>
      </c>
      <c r="J39" s="23">
        <v>69</v>
      </c>
      <c r="K39" s="23">
        <v>31</v>
      </c>
      <c r="L39" s="28">
        <v>39</v>
      </c>
    </row>
    <row r="40" spans="1:12" x14ac:dyDescent="0.25">
      <c r="A40" s="20">
        <v>34</v>
      </c>
      <c r="B40" s="27">
        <v>44799</v>
      </c>
      <c r="C40" s="23">
        <v>19</v>
      </c>
      <c r="D40" s="23">
        <v>52</v>
      </c>
      <c r="E40" s="23">
        <v>31</v>
      </c>
      <c r="F40" s="23">
        <v>38</v>
      </c>
      <c r="G40" s="23">
        <v>42</v>
      </c>
      <c r="H40" s="23">
        <v>39</v>
      </c>
      <c r="I40" s="23">
        <v>39</v>
      </c>
      <c r="J40" s="23">
        <v>52</v>
      </c>
      <c r="K40" s="23">
        <v>40</v>
      </c>
      <c r="L40" s="28">
        <v>24</v>
      </c>
    </row>
    <row r="41" spans="1:12" x14ac:dyDescent="0.25">
      <c r="A41" s="20">
        <v>35</v>
      </c>
      <c r="B41" s="27">
        <v>44806</v>
      </c>
      <c r="C41" s="23">
        <v>20</v>
      </c>
      <c r="D41" s="23">
        <v>34</v>
      </c>
      <c r="E41" s="23">
        <v>26</v>
      </c>
      <c r="F41" s="23">
        <v>40</v>
      </c>
      <c r="G41" s="23">
        <v>40</v>
      </c>
      <c r="H41" s="23">
        <v>42</v>
      </c>
      <c r="I41" s="23">
        <v>35</v>
      </c>
      <c r="J41" s="23">
        <v>47</v>
      </c>
      <c r="K41" s="23">
        <v>35</v>
      </c>
      <c r="L41" s="28">
        <v>18</v>
      </c>
    </row>
    <row r="42" spans="1:12" x14ac:dyDescent="0.25">
      <c r="A42" s="20">
        <v>36</v>
      </c>
      <c r="B42" s="27">
        <v>44813</v>
      </c>
      <c r="C42" s="23">
        <v>7</v>
      </c>
      <c r="D42" s="23">
        <v>43</v>
      </c>
      <c r="E42" s="23">
        <v>36</v>
      </c>
      <c r="F42" s="23">
        <v>23</v>
      </c>
      <c r="G42" s="23">
        <v>29</v>
      </c>
      <c r="H42" s="23">
        <v>35</v>
      </c>
      <c r="I42" s="23">
        <v>19</v>
      </c>
      <c r="J42" s="23">
        <v>43</v>
      </c>
      <c r="K42" s="23">
        <v>17</v>
      </c>
      <c r="L42" s="28">
        <v>25</v>
      </c>
    </row>
    <row r="43" spans="1:12" x14ac:dyDescent="0.25">
      <c r="A43" s="20">
        <v>37</v>
      </c>
      <c r="B43" s="27">
        <v>44820</v>
      </c>
      <c r="C43" s="23">
        <v>10</v>
      </c>
      <c r="D43" s="23">
        <v>32</v>
      </c>
      <c r="E43" s="23">
        <v>33</v>
      </c>
      <c r="F43" s="23">
        <v>29</v>
      </c>
      <c r="G43" s="23">
        <v>32</v>
      </c>
      <c r="H43" s="23">
        <v>22</v>
      </c>
      <c r="I43" s="23">
        <v>24</v>
      </c>
      <c r="J43" s="23">
        <v>45</v>
      </c>
      <c r="K43" s="23">
        <v>14</v>
      </c>
      <c r="L43" s="28">
        <v>16</v>
      </c>
    </row>
    <row r="44" spans="1:12" x14ac:dyDescent="0.25">
      <c r="A44" s="20">
        <v>38</v>
      </c>
      <c r="B44" s="27">
        <v>44827</v>
      </c>
      <c r="C44" s="23">
        <v>10</v>
      </c>
      <c r="D44" s="23">
        <v>35</v>
      </c>
      <c r="E44" s="23">
        <v>29</v>
      </c>
      <c r="F44" s="23">
        <v>23</v>
      </c>
      <c r="G44" s="23">
        <v>48</v>
      </c>
      <c r="H44" s="23">
        <v>27</v>
      </c>
      <c r="I44" s="23">
        <v>22</v>
      </c>
      <c r="J44" s="23">
        <v>35</v>
      </c>
      <c r="K44" s="23">
        <v>35</v>
      </c>
      <c r="L44" s="28">
        <v>13</v>
      </c>
    </row>
    <row r="45" spans="1:12" x14ac:dyDescent="0.25">
      <c r="A45" s="20">
        <v>39</v>
      </c>
      <c r="B45" s="27">
        <v>44834</v>
      </c>
      <c r="C45" s="23">
        <v>19</v>
      </c>
      <c r="D45" s="23">
        <v>53</v>
      </c>
      <c r="E45" s="23">
        <v>47</v>
      </c>
      <c r="F45" s="23">
        <v>41</v>
      </c>
      <c r="G45" s="23">
        <v>39</v>
      </c>
      <c r="H45" s="23">
        <v>30</v>
      </c>
      <c r="I45" s="23">
        <v>33</v>
      </c>
      <c r="J45" s="23">
        <v>42</v>
      </c>
      <c r="K45" s="23">
        <v>31</v>
      </c>
      <c r="L45" s="28">
        <v>22</v>
      </c>
    </row>
    <row r="46" spans="1:12" x14ac:dyDescent="0.25">
      <c r="A46" s="20">
        <v>40</v>
      </c>
      <c r="B46" s="27">
        <v>44841</v>
      </c>
      <c r="C46" s="23">
        <v>33</v>
      </c>
      <c r="D46" s="23">
        <v>69</v>
      </c>
      <c r="E46" s="23">
        <v>69</v>
      </c>
      <c r="F46" s="23">
        <v>52</v>
      </c>
      <c r="G46" s="23">
        <v>62</v>
      </c>
      <c r="H46" s="23">
        <v>66</v>
      </c>
      <c r="I46" s="23">
        <v>35</v>
      </c>
      <c r="J46" s="23">
        <v>82</v>
      </c>
      <c r="K46" s="23">
        <v>49</v>
      </c>
      <c r="L46" s="28">
        <v>41</v>
      </c>
    </row>
    <row r="47" spans="1:12" x14ac:dyDescent="0.25">
      <c r="A47" s="20">
        <v>41</v>
      </c>
      <c r="B47" s="27">
        <v>44848</v>
      </c>
      <c r="C47" s="23">
        <v>33</v>
      </c>
      <c r="D47" s="23">
        <v>88</v>
      </c>
      <c r="E47" s="23">
        <v>91</v>
      </c>
      <c r="F47" s="23">
        <v>69</v>
      </c>
      <c r="G47" s="23">
        <v>71</v>
      </c>
      <c r="H47" s="23">
        <v>84</v>
      </c>
      <c r="I47" s="23">
        <v>58</v>
      </c>
      <c r="J47" s="23">
        <v>116</v>
      </c>
      <c r="K47" s="23">
        <v>56</v>
      </c>
      <c r="L47" s="28">
        <v>35</v>
      </c>
    </row>
    <row r="48" spans="1:12" x14ac:dyDescent="0.25">
      <c r="A48" s="20">
        <v>42</v>
      </c>
      <c r="B48" s="27">
        <v>44855</v>
      </c>
      <c r="C48" s="23">
        <v>39</v>
      </c>
      <c r="D48" s="23">
        <v>78</v>
      </c>
      <c r="E48" s="23">
        <v>71</v>
      </c>
      <c r="F48" s="23">
        <v>64</v>
      </c>
      <c r="G48" s="23">
        <v>67</v>
      </c>
      <c r="H48" s="23">
        <v>97</v>
      </c>
      <c r="I48" s="23">
        <v>69</v>
      </c>
      <c r="J48" s="23">
        <v>127</v>
      </c>
      <c r="K48" s="23">
        <v>61</v>
      </c>
      <c r="L48" s="28">
        <v>40</v>
      </c>
    </row>
    <row r="49" spans="1:12" x14ac:dyDescent="0.25">
      <c r="A49" s="20">
        <v>43</v>
      </c>
      <c r="B49" s="27">
        <v>44862</v>
      </c>
      <c r="C49" s="23">
        <v>25</v>
      </c>
      <c r="D49" s="23">
        <v>80</v>
      </c>
      <c r="E49" s="23">
        <v>82</v>
      </c>
      <c r="F49" s="23">
        <v>63</v>
      </c>
      <c r="G49" s="23">
        <v>55</v>
      </c>
      <c r="H49" s="23">
        <v>83</v>
      </c>
      <c r="I49" s="23">
        <v>70</v>
      </c>
      <c r="J49" s="23">
        <v>97</v>
      </c>
      <c r="K49" s="23">
        <v>72</v>
      </c>
      <c r="L49" s="28">
        <v>39</v>
      </c>
    </row>
    <row r="50" spans="1:12" x14ac:dyDescent="0.25">
      <c r="A50" s="20">
        <v>44</v>
      </c>
      <c r="B50" s="27">
        <v>44869</v>
      </c>
      <c r="C50" s="23">
        <v>29</v>
      </c>
      <c r="D50" s="23">
        <v>72</v>
      </c>
      <c r="E50" s="23">
        <v>52</v>
      </c>
      <c r="F50" s="23">
        <v>62</v>
      </c>
      <c r="G50" s="23">
        <v>50</v>
      </c>
      <c r="H50" s="23">
        <v>58</v>
      </c>
      <c r="I50" s="23">
        <v>66</v>
      </c>
      <c r="J50" s="23">
        <v>85</v>
      </c>
      <c r="K50" s="23">
        <v>42</v>
      </c>
      <c r="L50" s="28">
        <v>40</v>
      </c>
    </row>
    <row r="51" spans="1:12" x14ac:dyDescent="0.25">
      <c r="A51" s="20">
        <v>45</v>
      </c>
      <c r="B51" s="27">
        <v>44876</v>
      </c>
      <c r="C51" s="23">
        <v>24</v>
      </c>
      <c r="D51" s="23">
        <v>47</v>
      </c>
      <c r="E51" s="23">
        <v>38</v>
      </c>
      <c r="F51" s="23">
        <v>51</v>
      </c>
      <c r="G51" s="23">
        <v>31</v>
      </c>
      <c r="H51" s="23">
        <v>47</v>
      </c>
      <c r="I51" s="23">
        <v>44</v>
      </c>
      <c r="J51" s="23">
        <v>56</v>
      </c>
      <c r="K51" s="23">
        <v>47</v>
      </c>
      <c r="L51" s="28">
        <v>28</v>
      </c>
    </row>
    <row r="52" spans="1:12" x14ac:dyDescent="0.25">
      <c r="A52" s="20">
        <v>46</v>
      </c>
      <c r="B52" s="27">
        <v>44883</v>
      </c>
      <c r="C52" s="23">
        <v>27</v>
      </c>
      <c r="D52" s="23">
        <v>47</v>
      </c>
      <c r="E52" s="23">
        <v>35</v>
      </c>
      <c r="F52" s="23">
        <v>24</v>
      </c>
      <c r="G52" s="23">
        <v>36</v>
      </c>
      <c r="H52" s="23">
        <v>53</v>
      </c>
      <c r="I52" s="23">
        <v>44</v>
      </c>
      <c r="J52" s="23">
        <v>47</v>
      </c>
      <c r="K52" s="23">
        <v>28</v>
      </c>
      <c r="L52" s="28">
        <v>10</v>
      </c>
    </row>
    <row r="53" spans="1:12" x14ac:dyDescent="0.25">
      <c r="A53" s="20">
        <v>47</v>
      </c>
      <c r="B53" s="27">
        <v>44890</v>
      </c>
      <c r="C53" s="23">
        <v>19</v>
      </c>
      <c r="D53" s="23">
        <v>41</v>
      </c>
      <c r="E53" s="23">
        <v>31</v>
      </c>
      <c r="F53" s="23">
        <v>36</v>
      </c>
      <c r="G53" s="23">
        <v>37</v>
      </c>
      <c r="H53" s="23">
        <v>35</v>
      </c>
      <c r="I53" s="23">
        <v>37</v>
      </c>
      <c r="J53" s="23">
        <v>51</v>
      </c>
      <c r="K53" s="23">
        <v>28</v>
      </c>
      <c r="L53" s="28">
        <v>15</v>
      </c>
    </row>
    <row r="54" spans="1:12" x14ac:dyDescent="0.25">
      <c r="A54" s="20">
        <v>48</v>
      </c>
      <c r="B54" s="27">
        <v>44897</v>
      </c>
      <c r="C54" s="23">
        <v>12</v>
      </c>
      <c r="D54" s="23">
        <v>38</v>
      </c>
      <c r="E54" s="23">
        <v>29</v>
      </c>
      <c r="F54" s="23">
        <v>33</v>
      </c>
      <c r="G54" s="23">
        <v>31</v>
      </c>
      <c r="H54" s="23">
        <v>35</v>
      </c>
      <c r="I54" s="23">
        <v>47</v>
      </c>
      <c r="J54" s="23">
        <v>41</v>
      </c>
      <c r="K54" s="23">
        <v>26</v>
      </c>
      <c r="L54" s="28">
        <v>25</v>
      </c>
    </row>
    <row r="55" spans="1:12" x14ac:dyDescent="0.25">
      <c r="A55" s="20">
        <v>49</v>
      </c>
      <c r="B55" s="27">
        <v>44904</v>
      </c>
      <c r="C55" s="23">
        <v>16</v>
      </c>
      <c r="D55" s="23">
        <v>45</v>
      </c>
      <c r="E55" s="23">
        <v>23</v>
      </c>
      <c r="F55" s="23">
        <v>33</v>
      </c>
      <c r="G55" s="23">
        <v>40</v>
      </c>
      <c r="H55" s="23">
        <v>41</v>
      </c>
      <c r="I55" s="23">
        <v>53</v>
      </c>
      <c r="J55" s="23">
        <v>63</v>
      </c>
      <c r="K55" s="23">
        <v>38</v>
      </c>
      <c r="L55" s="28">
        <v>39</v>
      </c>
    </row>
    <row r="56" spans="1:12" x14ac:dyDescent="0.25">
      <c r="A56" s="20">
        <v>50</v>
      </c>
      <c r="B56" s="27">
        <v>44911</v>
      </c>
      <c r="C56" s="23">
        <v>18</v>
      </c>
      <c r="D56" s="23">
        <v>57</v>
      </c>
      <c r="E56" s="23">
        <v>36</v>
      </c>
      <c r="F56" s="23">
        <v>37</v>
      </c>
      <c r="G56" s="23">
        <v>45</v>
      </c>
      <c r="H56" s="23">
        <v>40</v>
      </c>
      <c r="I56" s="23">
        <v>59</v>
      </c>
      <c r="J56" s="23">
        <v>79</v>
      </c>
      <c r="K56" s="23">
        <v>59</v>
      </c>
      <c r="L56" s="28">
        <v>25</v>
      </c>
    </row>
    <row r="57" spans="1:12" x14ac:dyDescent="0.25">
      <c r="A57" s="20">
        <v>51</v>
      </c>
      <c r="B57" s="27">
        <v>44918</v>
      </c>
      <c r="C57" s="23">
        <v>19</v>
      </c>
      <c r="D57" s="23">
        <v>87</v>
      </c>
      <c r="E57" s="23">
        <v>57</v>
      </c>
      <c r="F57" s="23">
        <v>56</v>
      </c>
      <c r="G57" s="23">
        <v>60</v>
      </c>
      <c r="H57" s="23">
        <v>67</v>
      </c>
      <c r="I57" s="23">
        <v>76</v>
      </c>
      <c r="J57" s="23">
        <v>118</v>
      </c>
      <c r="K57" s="23">
        <v>87</v>
      </c>
      <c r="L57" s="28">
        <v>42</v>
      </c>
    </row>
    <row r="58" spans="1:12" x14ac:dyDescent="0.25">
      <c r="A58" s="20">
        <v>52</v>
      </c>
      <c r="B58" s="27">
        <v>44925</v>
      </c>
      <c r="C58" s="23">
        <v>27</v>
      </c>
      <c r="D58" s="23">
        <v>84</v>
      </c>
      <c r="E58" s="23">
        <v>62</v>
      </c>
      <c r="F58" s="23">
        <v>71</v>
      </c>
      <c r="G58" s="23">
        <v>83</v>
      </c>
      <c r="H58" s="23">
        <v>115</v>
      </c>
      <c r="I58" s="23">
        <v>79</v>
      </c>
      <c r="J58" s="23">
        <v>139</v>
      </c>
      <c r="K58" s="23">
        <v>120</v>
      </c>
      <c r="L58" s="28">
        <v>67</v>
      </c>
    </row>
    <row r="59" spans="1:12" x14ac:dyDescent="0.25">
      <c r="A59" s="20">
        <v>1</v>
      </c>
      <c r="B59" s="27">
        <v>44932</v>
      </c>
      <c r="C59" s="23">
        <v>38</v>
      </c>
      <c r="D59" s="23">
        <v>98</v>
      </c>
      <c r="E59" s="23">
        <v>75</v>
      </c>
      <c r="F59" s="23">
        <v>63</v>
      </c>
      <c r="G59" s="23">
        <v>84</v>
      </c>
      <c r="H59" s="23">
        <v>94</v>
      </c>
      <c r="I59" s="23">
        <v>92</v>
      </c>
      <c r="J59" s="23">
        <v>124</v>
      </c>
      <c r="K59" s="23">
        <v>108</v>
      </c>
      <c r="L59" s="28">
        <v>60</v>
      </c>
    </row>
    <row r="60" spans="1:12" x14ac:dyDescent="0.25">
      <c r="A60" s="20">
        <v>2</v>
      </c>
      <c r="B60" s="27">
        <v>44939</v>
      </c>
      <c r="C60" s="23">
        <v>41</v>
      </c>
      <c r="D60" s="23">
        <v>88</v>
      </c>
      <c r="E60" s="23">
        <v>68</v>
      </c>
      <c r="F60" s="23">
        <v>52</v>
      </c>
      <c r="G60" s="23">
        <v>80</v>
      </c>
      <c r="H60" s="23">
        <v>90</v>
      </c>
      <c r="I60" s="23">
        <v>58</v>
      </c>
      <c r="J60" s="23">
        <v>113</v>
      </c>
      <c r="K60" s="23">
        <v>68</v>
      </c>
      <c r="L60" s="28">
        <v>56</v>
      </c>
    </row>
    <row r="61" spans="1:12" x14ac:dyDescent="0.25">
      <c r="A61" s="20">
        <v>3</v>
      </c>
      <c r="B61" s="27">
        <v>44946</v>
      </c>
      <c r="C61" s="23">
        <v>34</v>
      </c>
      <c r="D61" s="23">
        <v>82</v>
      </c>
      <c r="E61" s="23">
        <v>62</v>
      </c>
      <c r="F61" s="23">
        <v>56</v>
      </c>
      <c r="G61" s="23">
        <v>54</v>
      </c>
      <c r="H61" s="23">
        <v>76</v>
      </c>
      <c r="I61" s="23">
        <v>51</v>
      </c>
      <c r="J61" s="23">
        <v>85</v>
      </c>
      <c r="K61" s="23">
        <v>48</v>
      </c>
      <c r="L61" s="28">
        <v>44</v>
      </c>
    </row>
    <row r="62" spans="1:12" x14ac:dyDescent="0.25">
      <c r="A62" s="20">
        <v>4</v>
      </c>
      <c r="B62" s="27">
        <v>44953</v>
      </c>
      <c r="C62" s="23">
        <v>21</v>
      </c>
      <c r="D62" s="23">
        <v>68</v>
      </c>
      <c r="E62" s="23">
        <v>44</v>
      </c>
      <c r="F62" s="23">
        <v>37</v>
      </c>
      <c r="G62" s="23">
        <v>57</v>
      </c>
      <c r="H62" s="23">
        <v>68</v>
      </c>
      <c r="I62" s="23">
        <v>44</v>
      </c>
      <c r="J62" s="23">
        <v>83</v>
      </c>
      <c r="K62" s="23">
        <v>26</v>
      </c>
      <c r="L62" s="28">
        <v>18</v>
      </c>
    </row>
    <row r="63" spans="1:12" x14ac:dyDescent="0.25">
      <c r="A63" s="20">
        <v>5</v>
      </c>
      <c r="B63" s="27">
        <v>44960</v>
      </c>
      <c r="C63" s="23">
        <v>22</v>
      </c>
      <c r="D63" s="23">
        <v>54</v>
      </c>
      <c r="E63" s="23">
        <v>36</v>
      </c>
      <c r="F63" s="23">
        <v>31</v>
      </c>
      <c r="G63" s="23">
        <v>56</v>
      </c>
      <c r="H63" s="23">
        <v>72</v>
      </c>
      <c r="I63" s="23">
        <v>38</v>
      </c>
      <c r="J63" s="23">
        <v>81</v>
      </c>
      <c r="K63" s="23">
        <v>32</v>
      </c>
      <c r="L63" s="28">
        <v>21</v>
      </c>
    </row>
    <row r="64" spans="1:12" x14ac:dyDescent="0.25">
      <c r="A64" s="20">
        <v>6</v>
      </c>
      <c r="B64" s="27">
        <v>44967</v>
      </c>
      <c r="C64" s="23">
        <v>30</v>
      </c>
      <c r="D64" s="23">
        <v>44</v>
      </c>
      <c r="E64" s="23">
        <v>39</v>
      </c>
      <c r="F64" s="23">
        <v>36</v>
      </c>
      <c r="G64" s="23">
        <v>57</v>
      </c>
      <c r="H64" s="23">
        <v>68</v>
      </c>
      <c r="I64" s="23">
        <v>29</v>
      </c>
      <c r="J64" s="23">
        <v>70</v>
      </c>
      <c r="K64" s="23">
        <v>30</v>
      </c>
      <c r="L64" s="28">
        <v>15</v>
      </c>
    </row>
    <row r="65" spans="1:12" x14ac:dyDescent="0.25">
      <c r="A65" s="20">
        <v>7</v>
      </c>
      <c r="B65" s="27">
        <v>44974</v>
      </c>
      <c r="C65" s="23">
        <v>32</v>
      </c>
      <c r="D65" s="23">
        <v>56</v>
      </c>
      <c r="E65" s="23">
        <v>38</v>
      </c>
      <c r="F65" s="23">
        <v>37</v>
      </c>
      <c r="G65" s="23">
        <v>52</v>
      </c>
      <c r="H65" s="23">
        <v>68</v>
      </c>
      <c r="I65" s="23">
        <v>38</v>
      </c>
      <c r="J65" s="23">
        <v>59</v>
      </c>
      <c r="K65" s="23">
        <v>39</v>
      </c>
      <c r="L65" s="28">
        <v>14</v>
      </c>
    </row>
    <row r="66" spans="1:12" x14ac:dyDescent="0.25">
      <c r="A66" s="20">
        <v>8</v>
      </c>
      <c r="B66" s="27">
        <v>44981</v>
      </c>
      <c r="C66" s="23">
        <v>33</v>
      </c>
      <c r="D66" s="23">
        <v>60</v>
      </c>
      <c r="E66" s="23">
        <v>51</v>
      </c>
      <c r="F66" s="23">
        <v>45</v>
      </c>
      <c r="G66" s="23">
        <v>48</v>
      </c>
      <c r="H66" s="23">
        <v>52</v>
      </c>
      <c r="I66" s="23">
        <v>47</v>
      </c>
      <c r="J66" s="23">
        <v>68</v>
      </c>
      <c r="K66" s="23">
        <v>51</v>
      </c>
      <c r="L66" s="28">
        <v>16</v>
      </c>
    </row>
    <row r="67" spans="1:12" x14ac:dyDescent="0.25">
      <c r="A67" s="20">
        <v>9</v>
      </c>
      <c r="B67" s="27">
        <v>44988</v>
      </c>
      <c r="C67" s="23">
        <v>30</v>
      </c>
      <c r="D67" s="23">
        <v>59</v>
      </c>
      <c r="E67" s="23">
        <v>44</v>
      </c>
      <c r="F67" s="23">
        <v>58</v>
      </c>
      <c r="G67" s="23">
        <v>66</v>
      </c>
      <c r="H67" s="23">
        <v>66</v>
      </c>
      <c r="I67" s="23">
        <v>51</v>
      </c>
      <c r="J67" s="23">
        <v>80</v>
      </c>
      <c r="K67" s="23">
        <v>43</v>
      </c>
      <c r="L67" s="28">
        <v>18</v>
      </c>
    </row>
    <row r="68" spans="1:12" x14ac:dyDescent="0.25">
      <c r="A68" s="20">
        <v>10</v>
      </c>
      <c r="B68" s="27">
        <v>44995</v>
      </c>
      <c r="C68" s="23">
        <v>36</v>
      </c>
      <c r="D68" s="23">
        <v>79</v>
      </c>
      <c r="E68" s="23">
        <v>50</v>
      </c>
      <c r="F68" s="23">
        <v>66</v>
      </c>
      <c r="G68" s="23">
        <v>59</v>
      </c>
      <c r="H68" s="23">
        <v>71</v>
      </c>
      <c r="I68" s="23">
        <v>52</v>
      </c>
      <c r="J68" s="23">
        <v>88</v>
      </c>
      <c r="K68" s="23">
        <v>51</v>
      </c>
      <c r="L68" s="28">
        <v>43</v>
      </c>
    </row>
    <row r="69" spans="1:12" x14ac:dyDescent="0.25">
      <c r="A69" s="20">
        <v>11</v>
      </c>
      <c r="B69" s="27">
        <v>45002</v>
      </c>
      <c r="C69" s="23">
        <v>31</v>
      </c>
      <c r="D69" s="23">
        <v>105</v>
      </c>
      <c r="E69" s="23">
        <v>58</v>
      </c>
      <c r="F69" s="23">
        <v>58</v>
      </c>
      <c r="G69" s="23">
        <v>72</v>
      </c>
      <c r="H69" s="23">
        <v>62</v>
      </c>
      <c r="I69" s="23">
        <v>61</v>
      </c>
      <c r="J69" s="23">
        <v>91</v>
      </c>
      <c r="K69" s="23">
        <v>59</v>
      </c>
      <c r="L69" s="28">
        <v>40</v>
      </c>
    </row>
    <row r="70" spans="1:12" x14ac:dyDescent="0.25">
      <c r="A70" s="20">
        <v>12</v>
      </c>
      <c r="B70" s="27">
        <v>45009</v>
      </c>
      <c r="C70" s="23">
        <v>33</v>
      </c>
      <c r="D70" s="23">
        <v>88</v>
      </c>
      <c r="E70" s="23">
        <v>64</v>
      </c>
      <c r="F70" s="23">
        <v>64</v>
      </c>
      <c r="G70" s="23">
        <v>62</v>
      </c>
      <c r="H70" s="23">
        <v>83</v>
      </c>
      <c r="I70" s="23">
        <v>46</v>
      </c>
      <c r="J70" s="23">
        <v>96</v>
      </c>
      <c r="K70" s="23">
        <v>67</v>
      </c>
      <c r="L70" s="28">
        <v>40</v>
      </c>
    </row>
    <row r="71" spans="1:12" x14ac:dyDescent="0.25">
      <c r="A71" s="20">
        <v>13</v>
      </c>
      <c r="B71" s="27">
        <v>45016</v>
      </c>
      <c r="C71" s="23">
        <v>37</v>
      </c>
      <c r="D71" s="23">
        <v>89</v>
      </c>
      <c r="E71" s="23">
        <v>59</v>
      </c>
      <c r="F71" s="23">
        <v>52</v>
      </c>
      <c r="G71" s="23">
        <v>56</v>
      </c>
      <c r="H71" s="23">
        <v>72</v>
      </c>
      <c r="I71" s="23">
        <v>41</v>
      </c>
      <c r="J71" s="23">
        <v>105</v>
      </c>
      <c r="K71" s="23">
        <v>59</v>
      </c>
      <c r="L71" s="28">
        <v>31</v>
      </c>
    </row>
    <row r="72" spans="1:12" x14ac:dyDescent="0.25">
      <c r="A72" s="20">
        <v>14</v>
      </c>
      <c r="B72" s="27">
        <v>45023</v>
      </c>
      <c r="C72" s="23">
        <v>33</v>
      </c>
      <c r="D72" s="23">
        <v>80</v>
      </c>
      <c r="E72" s="23">
        <v>47</v>
      </c>
      <c r="F72" s="23">
        <v>40</v>
      </c>
      <c r="G72" s="23">
        <v>55</v>
      </c>
      <c r="H72" s="23">
        <v>78</v>
      </c>
      <c r="I72" s="23">
        <v>36</v>
      </c>
      <c r="J72" s="23">
        <v>82</v>
      </c>
      <c r="K72" s="23">
        <v>44</v>
      </c>
      <c r="L72" s="28">
        <v>29</v>
      </c>
    </row>
    <row r="73" spans="1:12" x14ac:dyDescent="0.25">
      <c r="A73" s="20">
        <v>15</v>
      </c>
      <c r="B73" s="27">
        <v>45030</v>
      </c>
      <c r="C73" s="23">
        <v>36</v>
      </c>
      <c r="D73" s="23">
        <v>65</v>
      </c>
      <c r="E73" s="23">
        <v>47</v>
      </c>
      <c r="F73" s="23">
        <v>45</v>
      </c>
      <c r="G73" s="23">
        <v>40</v>
      </c>
      <c r="H73" s="23">
        <v>41</v>
      </c>
      <c r="I73" s="23">
        <v>43</v>
      </c>
      <c r="J73" s="23">
        <v>72</v>
      </c>
      <c r="K73" s="23">
        <v>50</v>
      </c>
      <c r="L73" s="28">
        <v>16</v>
      </c>
    </row>
    <row r="74" spans="1:12" x14ac:dyDescent="0.25">
      <c r="A74" s="20">
        <v>16</v>
      </c>
      <c r="B74" s="27">
        <v>45037</v>
      </c>
      <c r="C74" s="23">
        <v>22</v>
      </c>
      <c r="D74" s="23">
        <v>52</v>
      </c>
      <c r="E74" s="23">
        <v>39</v>
      </c>
      <c r="F74" s="23">
        <v>33</v>
      </c>
      <c r="G74" s="23">
        <v>69</v>
      </c>
      <c r="H74" s="23">
        <v>48</v>
      </c>
      <c r="I74" s="23">
        <v>38</v>
      </c>
      <c r="J74" s="23">
        <v>81</v>
      </c>
      <c r="K74" s="23">
        <v>31</v>
      </c>
      <c r="L74" s="28">
        <v>29</v>
      </c>
    </row>
    <row r="75" spans="1:12" x14ac:dyDescent="0.25">
      <c r="A75" s="20">
        <v>17</v>
      </c>
      <c r="B75" s="27">
        <v>45044</v>
      </c>
      <c r="C75" s="23">
        <v>20</v>
      </c>
      <c r="D75" s="23">
        <v>43</v>
      </c>
      <c r="E75" s="23">
        <v>29</v>
      </c>
      <c r="F75" s="23">
        <v>37</v>
      </c>
      <c r="G75" s="23">
        <v>35</v>
      </c>
      <c r="H75" s="23">
        <v>44</v>
      </c>
      <c r="I75" s="23">
        <v>28</v>
      </c>
      <c r="J75" s="23">
        <v>45</v>
      </c>
      <c r="K75" s="23">
        <v>34</v>
      </c>
      <c r="L75" s="28">
        <v>26</v>
      </c>
    </row>
    <row r="76" spans="1:12" x14ac:dyDescent="0.25">
      <c r="A76" s="20">
        <v>18</v>
      </c>
      <c r="B76" s="27">
        <v>45051</v>
      </c>
      <c r="C76" s="23">
        <v>18</v>
      </c>
      <c r="D76" s="23">
        <v>44</v>
      </c>
      <c r="E76" s="23">
        <v>30</v>
      </c>
      <c r="F76" s="23">
        <v>23</v>
      </c>
      <c r="G76" s="23">
        <v>27</v>
      </c>
      <c r="H76" s="23">
        <v>46</v>
      </c>
      <c r="I76" s="23">
        <v>25</v>
      </c>
      <c r="J76" s="23">
        <v>44</v>
      </c>
      <c r="K76" s="23">
        <v>26</v>
      </c>
      <c r="L76" s="28">
        <v>22</v>
      </c>
    </row>
    <row r="77" spans="1:12" x14ac:dyDescent="0.25">
      <c r="A77" s="20">
        <v>19</v>
      </c>
      <c r="B77" s="27">
        <v>45058</v>
      </c>
      <c r="C77" s="23">
        <v>20</v>
      </c>
      <c r="D77" s="23">
        <v>29</v>
      </c>
      <c r="E77" s="23">
        <v>29</v>
      </c>
      <c r="F77" s="23">
        <v>27</v>
      </c>
      <c r="G77" s="23">
        <v>39</v>
      </c>
      <c r="H77" s="23">
        <v>32</v>
      </c>
      <c r="I77" s="23">
        <v>24</v>
      </c>
      <c r="J77" s="23">
        <v>47</v>
      </c>
      <c r="K77" s="23">
        <v>21</v>
      </c>
      <c r="L77" s="28">
        <v>18</v>
      </c>
    </row>
    <row r="78" spans="1:12" x14ac:dyDescent="0.25">
      <c r="A78" s="20">
        <v>20</v>
      </c>
      <c r="B78" s="27">
        <v>45065</v>
      </c>
      <c r="C78" s="23">
        <v>13</v>
      </c>
      <c r="D78" s="23">
        <v>36</v>
      </c>
      <c r="E78" s="23">
        <v>22</v>
      </c>
      <c r="F78" s="23">
        <v>25</v>
      </c>
      <c r="G78" s="23">
        <v>30</v>
      </c>
      <c r="H78" s="23">
        <v>34</v>
      </c>
      <c r="I78" s="23">
        <v>20</v>
      </c>
      <c r="J78" s="23">
        <v>33</v>
      </c>
      <c r="K78" s="23">
        <v>28</v>
      </c>
      <c r="L78" s="28">
        <v>8</v>
      </c>
    </row>
    <row r="79" spans="1:12" x14ac:dyDescent="0.25">
      <c r="A79" s="20">
        <v>21</v>
      </c>
      <c r="B79" s="27">
        <v>45072</v>
      </c>
      <c r="C79" s="23">
        <v>12</v>
      </c>
      <c r="D79" s="23">
        <v>30</v>
      </c>
      <c r="E79" s="23">
        <v>23</v>
      </c>
      <c r="F79" s="23">
        <v>27</v>
      </c>
      <c r="G79" s="23">
        <v>20</v>
      </c>
      <c r="H79" s="23">
        <v>21</v>
      </c>
      <c r="I79" s="23">
        <v>27</v>
      </c>
      <c r="J79" s="23">
        <v>21</v>
      </c>
      <c r="K79" s="23">
        <v>17</v>
      </c>
      <c r="L79" s="28">
        <v>14</v>
      </c>
    </row>
    <row r="80" spans="1:12" x14ac:dyDescent="0.25">
      <c r="A80" s="20">
        <v>22</v>
      </c>
      <c r="B80" s="27">
        <v>45079</v>
      </c>
      <c r="C80" s="23">
        <v>7</v>
      </c>
      <c r="D80" s="23">
        <v>19</v>
      </c>
      <c r="E80" s="23">
        <v>17</v>
      </c>
      <c r="F80" s="23">
        <v>23</v>
      </c>
      <c r="G80" s="23">
        <v>20</v>
      </c>
      <c r="H80" s="23">
        <v>15</v>
      </c>
      <c r="I80" s="23">
        <v>18</v>
      </c>
      <c r="J80" s="23">
        <v>33</v>
      </c>
      <c r="K80" s="23">
        <v>16</v>
      </c>
      <c r="L80" s="28">
        <v>11</v>
      </c>
    </row>
    <row r="81" spans="1:12" x14ac:dyDescent="0.25">
      <c r="A81" s="20">
        <v>23</v>
      </c>
      <c r="B81" s="27">
        <v>45086</v>
      </c>
      <c r="C81" s="23">
        <v>8</v>
      </c>
      <c r="D81" s="23">
        <v>23</v>
      </c>
      <c r="E81" s="23">
        <v>12</v>
      </c>
      <c r="F81" s="23">
        <v>16</v>
      </c>
      <c r="G81" s="23">
        <v>17</v>
      </c>
      <c r="H81" s="23">
        <v>19</v>
      </c>
      <c r="I81" s="23">
        <v>17</v>
      </c>
      <c r="J81" s="23">
        <v>26</v>
      </c>
      <c r="K81" s="23">
        <v>10</v>
      </c>
      <c r="L81" s="28">
        <v>7</v>
      </c>
    </row>
    <row r="82" spans="1:12" x14ac:dyDescent="0.25">
      <c r="A82" s="20">
        <v>24</v>
      </c>
      <c r="B82" s="27">
        <v>45093</v>
      </c>
      <c r="C82" s="23">
        <v>8</v>
      </c>
      <c r="D82" s="23">
        <v>18</v>
      </c>
      <c r="E82" s="23">
        <v>17</v>
      </c>
      <c r="F82" s="23">
        <v>14</v>
      </c>
      <c r="G82" s="23">
        <v>13</v>
      </c>
      <c r="H82" s="23">
        <v>23</v>
      </c>
      <c r="I82" s="23">
        <v>12</v>
      </c>
      <c r="J82" s="23">
        <v>35</v>
      </c>
      <c r="K82" s="23">
        <v>10</v>
      </c>
      <c r="L82" s="28">
        <v>11</v>
      </c>
    </row>
    <row r="83" spans="1:12" x14ac:dyDescent="0.25">
      <c r="A83" s="20">
        <v>25</v>
      </c>
      <c r="B83" s="27">
        <v>45100</v>
      </c>
      <c r="C83" s="23">
        <v>1</v>
      </c>
      <c r="D83" s="23">
        <v>11</v>
      </c>
      <c r="E83" s="23">
        <v>10</v>
      </c>
      <c r="F83" s="23">
        <v>14</v>
      </c>
      <c r="G83" s="23">
        <v>8</v>
      </c>
      <c r="H83" s="23">
        <v>16</v>
      </c>
      <c r="I83" s="23">
        <v>8</v>
      </c>
      <c r="J83" s="23">
        <v>16</v>
      </c>
      <c r="K83" s="23">
        <v>10</v>
      </c>
      <c r="L83" s="28">
        <v>7</v>
      </c>
    </row>
    <row r="84" spans="1:12" x14ac:dyDescent="0.25">
      <c r="A84" s="20">
        <v>26</v>
      </c>
      <c r="B84" s="27">
        <v>45107</v>
      </c>
      <c r="C84" s="23">
        <v>9</v>
      </c>
      <c r="D84" s="23">
        <v>12</v>
      </c>
      <c r="E84" s="23">
        <v>12</v>
      </c>
      <c r="F84" s="23">
        <v>6</v>
      </c>
      <c r="G84" s="23">
        <v>3</v>
      </c>
      <c r="H84" s="23">
        <v>6</v>
      </c>
      <c r="I84" s="23">
        <v>11</v>
      </c>
      <c r="J84" s="23">
        <v>19</v>
      </c>
      <c r="K84" s="23">
        <v>7</v>
      </c>
      <c r="L84" s="28">
        <v>4</v>
      </c>
    </row>
    <row r="85" spans="1:12" x14ac:dyDescent="0.25">
      <c r="A85" s="20">
        <v>27</v>
      </c>
      <c r="B85" s="27">
        <v>45114</v>
      </c>
      <c r="C85" s="23">
        <v>2</v>
      </c>
      <c r="D85" s="23">
        <v>7</v>
      </c>
      <c r="E85" s="23">
        <v>7</v>
      </c>
      <c r="F85" s="23">
        <v>8</v>
      </c>
      <c r="G85" s="23">
        <v>9</v>
      </c>
      <c r="H85" s="23">
        <v>8</v>
      </c>
      <c r="I85" s="23">
        <v>9</v>
      </c>
      <c r="J85" s="23">
        <v>8</v>
      </c>
      <c r="K85" s="23">
        <v>6</v>
      </c>
      <c r="L85" s="28">
        <v>3</v>
      </c>
    </row>
    <row r="86" spans="1:12" x14ac:dyDescent="0.25">
      <c r="A86" s="20">
        <v>28</v>
      </c>
      <c r="B86" s="27">
        <v>45121</v>
      </c>
      <c r="C86" s="23">
        <v>3</v>
      </c>
      <c r="D86" s="23">
        <v>0</v>
      </c>
      <c r="E86" s="23">
        <v>4</v>
      </c>
      <c r="F86" s="23">
        <v>3</v>
      </c>
      <c r="G86" s="23">
        <v>5</v>
      </c>
      <c r="H86" s="23">
        <v>6</v>
      </c>
      <c r="I86" s="23">
        <v>4</v>
      </c>
      <c r="J86" s="23">
        <v>14</v>
      </c>
      <c r="K86" s="23">
        <v>6</v>
      </c>
      <c r="L86" s="28">
        <v>6</v>
      </c>
    </row>
    <row r="87" spans="1:12" x14ac:dyDescent="0.25">
      <c r="A87" s="20">
        <v>29</v>
      </c>
      <c r="B87" s="27">
        <v>45128</v>
      </c>
      <c r="C87" s="23">
        <v>1</v>
      </c>
      <c r="D87" s="23">
        <v>4</v>
      </c>
      <c r="E87" s="23">
        <v>7</v>
      </c>
      <c r="F87" s="23">
        <v>4</v>
      </c>
      <c r="G87" s="23">
        <v>6</v>
      </c>
      <c r="H87" s="23">
        <v>8</v>
      </c>
      <c r="I87" s="23">
        <v>2</v>
      </c>
      <c r="J87" s="23">
        <v>10</v>
      </c>
      <c r="K87" s="23">
        <v>6</v>
      </c>
      <c r="L87" s="28">
        <v>7</v>
      </c>
    </row>
    <row r="88" spans="1:12" x14ac:dyDescent="0.25">
      <c r="A88" s="20">
        <v>30</v>
      </c>
      <c r="B88" s="27">
        <v>45135</v>
      </c>
      <c r="C88" s="23">
        <v>7</v>
      </c>
      <c r="D88" s="23">
        <v>8</v>
      </c>
      <c r="E88" s="23">
        <v>13</v>
      </c>
      <c r="F88" s="23">
        <v>3</v>
      </c>
      <c r="G88" s="23">
        <v>9</v>
      </c>
      <c r="H88" s="23">
        <v>6</v>
      </c>
      <c r="I88" s="23">
        <v>7</v>
      </c>
      <c r="J88" s="23">
        <v>6</v>
      </c>
      <c r="K88" s="23">
        <v>7</v>
      </c>
      <c r="L88" s="28">
        <v>5</v>
      </c>
    </row>
    <row r="89" spans="1:12" x14ac:dyDescent="0.25">
      <c r="A89" s="20">
        <v>31</v>
      </c>
      <c r="B89" s="27">
        <v>45142</v>
      </c>
      <c r="C89" s="23">
        <v>3</v>
      </c>
      <c r="D89" s="23">
        <v>9</v>
      </c>
      <c r="E89" s="23">
        <v>10</v>
      </c>
      <c r="F89" s="23">
        <v>4</v>
      </c>
      <c r="G89" s="23">
        <v>10</v>
      </c>
      <c r="H89" s="23">
        <v>15</v>
      </c>
      <c r="I89" s="23">
        <v>7</v>
      </c>
      <c r="J89" s="23">
        <v>7</v>
      </c>
      <c r="K89" s="23">
        <v>11</v>
      </c>
      <c r="L89" s="28">
        <v>5</v>
      </c>
    </row>
    <row r="90" spans="1:12" x14ac:dyDescent="0.25">
      <c r="A90" s="20">
        <v>32</v>
      </c>
      <c r="B90" s="27">
        <v>45149</v>
      </c>
      <c r="C90" s="23">
        <v>10</v>
      </c>
      <c r="D90" s="23">
        <v>14</v>
      </c>
      <c r="E90" s="23">
        <v>9</v>
      </c>
      <c r="F90" s="23">
        <v>13</v>
      </c>
      <c r="G90" s="23">
        <v>12</v>
      </c>
      <c r="H90" s="23">
        <v>18</v>
      </c>
      <c r="I90" s="23">
        <v>7</v>
      </c>
      <c r="J90" s="23">
        <v>14</v>
      </c>
      <c r="K90" s="23">
        <v>10</v>
      </c>
      <c r="L90" s="28">
        <v>8</v>
      </c>
    </row>
    <row r="91" spans="1:12" x14ac:dyDescent="0.25">
      <c r="A91" s="20">
        <v>33</v>
      </c>
      <c r="B91" s="27">
        <v>45156</v>
      </c>
      <c r="C91" s="23">
        <v>10</v>
      </c>
      <c r="D91" s="23">
        <v>19</v>
      </c>
      <c r="E91" s="23">
        <v>18</v>
      </c>
      <c r="F91" s="23">
        <v>8</v>
      </c>
      <c r="G91" s="23">
        <v>14</v>
      </c>
      <c r="H91" s="23">
        <v>23</v>
      </c>
      <c r="I91" s="23">
        <v>4</v>
      </c>
      <c r="J91" s="23">
        <v>26</v>
      </c>
      <c r="K91" s="23">
        <v>16</v>
      </c>
      <c r="L91" s="28">
        <v>23</v>
      </c>
    </row>
    <row r="92" spans="1:12" x14ac:dyDescent="0.25">
      <c r="A92" s="20">
        <v>34</v>
      </c>
      <c r="B92" s="27">
        <v>45163</v>
      </c>
      <c r="C92" s="23">
        <v>5</v>
      </c>
      <c r="D92" s="23">
        <v>21</v>
      </c>
      <c r="E92" s="23">
        <v>19</v>
      </c>
      <c r="F92" s="23">
        <v>16</v>
      </c>
      <c r="G92" s="23">
        <v>11</v>
      </c>
      <c r="H92" s="23">
        <v>17</v>
      </c>
      <c r="I92" s="23">
        <v>19</v>
      </c>
      <c r="J92" s="23">
        <v>33</v>
      </c>
      <c r="K92" s="23">
        <v>20</v>
      </c>
      <c r="L92" s="28">
        <v>22</v>
      </c>
    </row>
    <row r="93" spans="1:12" x14ac:dyDescent="0.25">
      <c r="A93" s="20">
        <v>35</v>
      </c>
      <c r="B93" s="27">
        <v>45170</v>
      </c>
      <c r="C93" s="23">
        <v>5</v>
      </c>
      <c r="D93" s="23">
        <v>18</v>
      </c>
      <c r="E93" s="23">
        <v>6</v>
      </c>
      <c r="F93" s="23">
        <v>12</v>
      </c>
      <c r="G93" s="23">
        <v>16</v>
      </c>
      <c r="H93" s="23">
        <v>18</v>
      </c>
      <c r="I93" s="23">
        <v>7</v>
      </c>
      <c r="J93" s="23">
        <v>14</v>
      </c>
      <c r="K93" s="23">
        <v>14</v>
      </c>
      <c r="L93" s="28">
        <v>10</v>
      </c>
    </row>
    <row r="94" spans="1:12" x14ac:dyDescent="0.25">
      <c r="A94" s="19"/>
      <c r="B94" s="18"/>
      <c r="C94" s="10"/>
      <c r="D94" s="10"/>
      <c r="E94" s="10"/>
      <c r="F94" s="10"/>
      <c r="G94" s="10"/>
      <c r="H94" s="10"/>
      <c r="I94" s="10"/>
      <c r="J94" s="10"/>
      <c r="K94" s="10"/>
      <c r="L94" s="10"/>
    </row>
  </sheetData>
  <sheetProtection sheet="1" formatCells="0" formatColumns="0"/>
  <pageMargins left="0.7" right="0.7" top="0.75" bottom="0.75" header="0.3" footer="0.3"/>
  <pageSetup paperSize="9" orientation="portrait" horizontalDpi="300" verticalDpi="30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51"/>
  <sheetViews>
    <sheetView showGridLines="0" workbookViewId="0"/>
  </sheetViews>
  <sheetFormatPr defaultColWidth="10.90625" defaultRowHeight="15" x14ac:dyDescent="0.25"/>
  <cols>
    <col min="1" max="1" width="14.1796875" customWidth="1"/>
    <col min="2" max="23" width="13.1796875" customWidth="1"/>
  </cols>
  <sheetData>
    <row r="1" spans="1:9" ht="17.399999999999999" x14ac:dyDescent="0.3">
      <c r="A1" s="1" t="s">
        <v>241</v>
      </c>
    </row>
    <row r="2" spans="1:9" ht="17.399999999999999" x14ac:dyDescent="0.3">
      <c r="A2" s="1" t="s">
        <v>242</v>
      </c>
    </row>
    <row r="3" spans="1:9" x14ac:dyDescent="0.25">
      <c r="A3" t="s">
        <v>129</v>
      </c>
    </row>
    <row r="4" spans="1:9" x14ac:dyDescent="0.25">
      <c r="A4" t="s">
        <v>114</v>
      </c>
    </row>
    <row r="5" spans="1:9" x14ac:dyDescent="0.25">
      <c r="A5" t="s">
        <v>115</v>
      </c>
    </row>
    <row r="6" spans="1:9" ht="15.6" x14ac:dyDescent="0.3">
      <c r="A6" s="3" t="s">
        <v>243</v>
      </c>
    </row>
    <row r="7" spans="1:9" ht="46.8" x14ac:dyDescent="0.25">
      <c r="A7" s="12" t="s">
        <v>116</v>
      </c>
      <c r="B7" s="29" t="s">
        <v>131</v>
      </c>
      <c r="C7" s="21" t="s">
        <v>175</v>
      </c>
      <c r="D7" s="21" t="s">
        <v>244</v>
      </c>
      <c r="E7" s="21" t="s">
        <v>245</v>
      </c>
      <c r="F7" s="21" t="s">
        <v>246</v>
      </c>
      <c r="G7" s="21" t="s">
        <v>247</v>
      </c>
      <c r="H7" s="21" t="s">
        <v>248</v>
      </c>
      <c r="I7" s="24" t="s">
        <v>249</v>
      </c>
    </row>
    <row r="8" spans="1:9" ht="30" x14ac:dyDescent="0.25">
      <c r="A8" s="10" t="s">
        <v>250</v>
      </c>
      <c r="B8" s="25">
        <v>45170</v>
      </c>
      <c r="C8" s="22">
        <v>2175886</v>
      </c>
      <c r="D8" s="22">
        <v>614742</v>
      </c>
      <c r="E8" s="22">
        <v>949969</v>
      </c>
      <c r="F8" s="22">
        <v>96764</v>
      </c>
      <c r="G8" s="22">
        <v>455845</v>
      </c>
      <c r="H8" s="22">
        <v>7231</v>
      </c>
      <c r="I8" s="26">
        <v>51335</v>
      </c>
    </row>
    <row r="9" spans="1:9" x14ac:dyDescent="0.25">
      <c r="A9" s="33">
        <v>1</v>
      </c>
      <c r="B9" s="27">
        <v>44932</v>
      </c>
      <c r="C9" s="23">
        <v>14983</v>
      </c>
      <c r="D9" s="23">
        <v>3699</v>
      </c>
      <c r="E9" s="23">
        <v>6870</v>
      </c>
      <c r="F9" s="23">
        <v>563</v>
      </c>
      <c r="G9" s="23">
        <v>3555</v>
      </c>
      <c r="H9" s="23">
        <v>51</v>
      </c>
      <c r="I9" s="28">
        <v>245</v>
      </c>
    </row>
    <row r="10" spans="1:9" x14ac:dyDescent="0.25">
      <c r="A10" s="33">
        <v>2</v>
      </c>
      <c r="B10" s="27">
        <v>44939</v>
      </c>
      <c r="C10" s="23">
        <v>17381</v>
      </c>
      <c r="D10" s="23">
        <v>4515</v>
      </c>
      <c r="E10" s="23">
        <v>7920</v>
      </c>
      <c r="F10" s="23">
        <v>609</v>
      </c>
      <c r="G10" s="23">
        <v>3954</v>
      </c>
      <c r="H10" s="23">
        <v>57</v>
      </c>
      <c r="I10" s="28">
        <v>326</v>
      </c>
    </row>
    <row r="11" spans="1:9" x14ac:dyDescent="0.25">
      <c r="A11" s="33">
        <v>3</v>
      </c>
      <c r="B11" s="27">
        <v>44946</v>
      </c>
      <c r="C11" s="23">
        <v>15804</v>
      </c>
      <c r="D11" s="23">
        <v>4345</v>
      </c>
      <c r="E11" s="23">
        <v>6963</v>
      </c>
      <c r="F11" s="23">
        <v>599</v>
      </c>
      <c r="G11" s="23">
        <v>3476</v>
      </c>
      <c r="H11" s="23">
        <v>49</v>
      </c>
      <c r="I11" s="28">
        <v>372</v>
      </c>
    </row>
    <row r="12" spans="1:9" x14ac:dyDescent="0.25">
      <c r="A12" s="33">
        <v>4</v>
      </c>
      <c r="B12" s="27">
        <v>44953</v>
      </c>
      <c r="C12" s="23">
        <v>14137</v>
      </c>
      <c r="D12" s="23">
        <v>4132</v>
      </c>
      <c r="E12" s="23">
        <v>5971</v>
      </c>
      <c r="F12" s="23">
        <v>600</v>
      </c>
      <c r="G12" s="23">
        <v>3043</v>
      </c>
      <c r="H12" s="23">
        <v>63</v>
      </c>
      <c r="I12" s="28">
        <v>328</v>
      </c>
    </row>
    <row r="13" spans="1:9" x14ac:dyDescent="0.25">
      <c r="A13" s="33">
        <v>5</v>
      </c>
      <c r="B13" s="27">
        <v>44960</v>
      </c>
      <c r="C13" s="23">
        <v>13412</v>
      </c>
      <c r="D13" s="23">
        <v>3929</v>
      </c>
      <c r="E13" s="23">
        <v>5770</v>
      </c>
      <c r="F13" s="23">
        <v>590</v>
      </c>
      <c r="G13" s="23">
        <v>2761</v>
      </c>
      <c r="H13" s="23">
        <v>47</v>
      </c>
      <c r="I13" s="28">
        <v>315</v>
      </c>
    </row>
    <row r="14" spans="1:9" x14ac:dyDescent="0.25">
      <c r="A14" s="33">
        <v>6</v>
      </c>
      <c r="B14" s="27">
        <v>44967</v>
      </c>
      <c r="C14" s="23">
        <v>12672</v>
      </c>
      <c r="D14" s="23">
        <v>3767</v>
      </c>
      <c r="E14" s="23">
        <v>5337</v>
      </c>
      <c r="F14" s="23">
        <v>592</v>
      </c>
      <c r="G14" s="23">
        <v>2633</v>
      </c>
      <c r="H14" s="23">
        <v>46</v>
      </c>
      <c r="I14" s="28">
        <v>297</v>
      </c>
    </row>
    <row r="15" spans="1:9" x14ac:dyDescent="0.25">
      <c r="A15" s="33">
        <v>7</v>
      </c>
      <c r="B15" s="27">
        <v>44974</v>
      </c>
      <c r="C15" s="23">
        <v>12031</v>
      </c>
      <c r="D15" s="23">
        <v>3440</v>
      </c>
      <c r="E15" s="23">
        <v>5244</v>
      </c>
      <c r="F15" s="23">
        <v>579</v>
      </c>
      <c r="G15" s="23">
        <v>2451</v>
      </c>
      <c r="H15" s="23">
        <v>41</v>
      </c>
      <c r="I15" s="28">
        <v>276</v>
      </c>
    </row>
    <row r="16" spans="1:9" x14ac:dyDescent="0.25">
      <c r="A16" s="33">
        <v>8</v>
      </c>
      <c r="B16" s="27">
        <v>44981</v>
      </c>
      <c r="C16" s="23">
        <v>11952</v>
      </c>
      <c r="D16" s="23">
        <v>3402</v>
      </c>
      <c r="E16" s="23">
        <v>5257</v>
      </c>
      <c r="F16" s="23">
        <v>530</v>
      </c>
      <c r="G16" s="23">
        <v>2432</v>
      </c>
      <c r="H16" s="23">
        <v>46</v>
      </c>
      <c r="I16" s="28">
        <v>285</v>
      </c>
    </row>
    <row r="17" spans="1:9" x14ac:dyDescent="0.25">
      <c r="A17" s="33">
        <v>9</v>
      </c>
      <c r="B17" s="27">
        <v>44988</v>
      </c>
      <c r="C17" s="23">
        <v>12049</v>
      </c>
      <c r="D17" s="23">
        <v>3484</v>
      </c>
      <c r="E17" s="23">
        <v>5244</v>
      </c>
      <c r="F17" s="23">
        <v>586</v>
      </c>
      <c r="G17" s="23">
        <v>2422</v>
      </c>
      <c r="H17" s="23">
        <v>32</v>
      </c>
      <c r="I17" s="28">
        <v>281</v>
      </c>
    </row>
    <row r="18" spans="1:9" x14ac:dyDescent="0.25">
      <c r="A18" s="33">
        <v>10</v>
      </c>
      <c r="B18" s="27">
        <v>44995</v>
      </c>
      <c r="C18" s="23">
        <v>11410</v>
      </c>
      <c r="D18" s="23">
        <v>3245</v>
      </c>
      <c r="E18" s="23">
        <v>4948</v>
      </c>
      <c r="F18" s="23">
        <v>564</v>
      </c>
      <c r="G18" s="23">
        <v>2351</v>
      </c>
      <c r="H18" s="23">
        <v>38</v>
      </c>
      <c r="I18" s="28">
        <v>264</v>
      </c>
    </row>
    <row r="19" spans="1:9" x14ac:dyDescent="0.25">
      <c r="A19" s="33">
        <v>11</v>
      </c>
      <c r="B19" s="27">
        <v>45002</v>
      </c>
      <c r="C19" s="23">
        <v>12133</v>
      </c>
      <c r="D19" s="23">
        <v>3575</v>
      </c>
      <c r="E19" s="23">
        <v>5222</v>
      </c>
      <c r="F19" s="23">
        <v>536</v>
      </c>
      <c r="G19" s="23">
        <v>2482</v>
      </c>
      <c r="H19" s="23">
        <v>33</v>
      </c>
      <c r="I19" s="28">
        <v>285</v>
      </c>
    </row>
    <row r="20" spans="1:9" x14ac:dyDescent="0.25">
      <c r="A20" s="33">
        <v>12</v>
      </c>
      <c r="B20" s="27">
        <v>45009</v>
      </c>
      <c r="C20" s="23">
        <v>12052</v>
      </c>
      <c r="D20" s="23">
        <v>3421</v>
      </c>
      <c r="E20" s="23">
        <v>5329</v>
      </c>
      <c r="F20" s="23">
        <v>568</v>
      </c>
      <c r="G20" s="23">
        <v>2390</v>
      </c>
      <c r="H20" s="23">
        <v>39</v>
      </c>
      <c r="I20" s="28">
        <v>305</v>
      </c>
    </row>
    <row r="21" spans="1:9" x14ac:dyDescent="0.25">
      <c r="A21" s="33">
        <v>13</v>
      </c>
      <c r="B21" s="27">
        <v>45016</v>
      </c>
      <c r="C21" s="23">
        <v>11584</v>
      </c>
      <c r="D21" s="23">
        <v>3282</v>
      </c>
      <c r="E21" s="23">
        <v>5139</v>
      </c>
      <c r="F21" s="23">
        <v>530</v>
      </c>
      <c r="G21" s="23">
        <v>2316</v>
      </c>
      <c r="H21" s="23">
        <v>42</v>
      </c>
      <c r="I21" s="28">
        <v>275</v>
      </c>
    </row>
    <row r="22" spans="1:9" x14ac:dyDescent="0.25">
      <c r="A22" s="33">
        <v>14</v>
      </c>
      <c r="B22" s="27">
        <v>45023</v>
      </c>
      <c r="C22" s="23">
        <v>10089</v>
      </c>
      <c r="D22" s="23">
        <v>2816</v>
      </c>
      <c r="E22" s="23">
        <v>4531</v>
      </c>
      <c r="F22" s="23">
        <v>533</v>
      </c>
      <c r="G22" s="23">
        <v>1950</v>
      </c>
      <c r="H22" s="23">
        <v>44</v>
      </c>
      <c r="I22" s="28">
        <v>215</v>
      </c>
    </row>
    <row r="23" spans="1:9" x14ac:dyDescent="0.25">
      <c r="A23" s="33">
        <v>15</v>
      </c>
      <c r="B23" s="27">
        <v>45030</v>
      </c>
      <c r="C23" s="23">
        <v>9978</v>
      </c>
      <c r="D23" s="23">
        <v>2755</v>
      </c>
      <c r="E23" s="23">
        <v>4524</v>
      </c>
      <c r="F23" s="23">
        <v>526</v>
      </c>
      <c r="G23" s="23">
        <v>1943</v>
      </c>
      <c r="H23" s="23">
        <v>26</v>
      </c>
      <c r="I23" s="28">
        <v>204</v>
      </c>
    </row>
    <row r="24" spans="1:9" x14ac:dyDescent="0.25">
      <c r="A24" s="33">
        <v>16</v>
      </c>
      <c r="B24" s="27">
        <v>45037</v>
      </c>
      <c r="C24" s="23">
        <v>12420</v>
      </c>
      <c r="D24" s="23">
        <v>3434</v>
      </c>
      <c r="E24" s="23">
        <v>5506</v>
      </c>
      <c r="F24" s="23">
        <v>567</v>
      </c>
      <c r="G24" s="23">
        <v>2603</v>
      </c>
      <c r="H24" s="23">
        <v>33</v>
      </c>
      <c r="I24" s="28">
        <v>277</v>
      </c>
    </row>
    <row r="25" spans="1:9" x14ac:dyDescent="0.25">
      <c r="A25" s="33">
        <v>17</v>
      </c>
      <c r="B25" s="27">
        <v>45044</v>
      </c>
      <c r="C25" s="23">
        <v>12152</v>
      </c>
      <c r="D25" s="23">
        <v>3417</v>
      </c>
      <c r="E25" s="23">
        <v>5406</v>
      </c>
      <c r="F25" s="23">
        <v>594</v>
      </c>
      <c r="G25" s="23">
        <v>2395</v>
      </c>
      <c r="H25" s="23">
        <v>41</v>
      </c>
      <c r="I25" s="28">
        <v>299</v>
      </c>
    </row>
    <row r="26" spans="1:9" x14ac:dyDescent="0.25">
      <c r="A26" s="33">
        <v>18</v>
      </c>
      <c r="B26" s="27">
        <v>45051</v>
      </c>
      <c r="C26" s="23">
        <v>10143</v>
      </c>
      <c r="D26" s="23">
        <v>2895</v>
      </c>
      <c r="E26" s="23">
        <v>4431</v>
      </c>
      <c r="F26" s="23">
        <v>509</v>
      </c>
      <c r="G26" s="23">
        <v>1998</v>
      </c>
      <c r="H26" s="23">
        <v>45</v>
      </c>
      <c r="I26" s="28">
        <v>265</v>
      </c>
    </row>
    <row r="27" spans="1:9" x14ac:dyDescent="0.25">
      <c r="A27" s="33">
        <v>19</v>
      </c>
      <c r="B27" s="27">
        <v>45058</v>
      </c>
      <c r="C27" s="23">
        <v>10367</v>
      </c>
      <c r="D27" s="23">
        <v>2861</v>
      </c>
      <c r="E27" s="23">
        <v>4617</v>
      </c>
      <c r="F27" s="23">
        <v>510</v>
      </c>
      <c r="G27" s="23">
        <v>2082</v>
      </c>
      <c r="H27" s="23">
        <v>37</v>
      </c>
      <c r="I27" s="28">
        <v>260</v>
      </c>
    </row>
    <row r="28" spans="1:9" x14ac:dyDescent="0.25">
      <c r="A28" s="33">
        <v>20</v>
      </c>
      <c r="B28" s="27">
        <v>45065</v>
      </c>
      <c r="C28" s="23">
        <v>11654</v>
      </c>
      <c r="D28" s="23">
        <v>3375</v>
      </c>
      <c r="E28" s="23">
        <v>5059</v>
      </c>
      <c r="F28" s="23">
        <v>558</v>
      </c>
      <c r="G28" s="23">
        <v>2326</v>
      </c>
      <c r="H28" s="23">
        <v>39</v>
      </c>
      <c r="I28" s="28">
        <v>297</v>
      </c>
    </row>
    <row r="29" spans="1:9" x14ac:dyDescent="0.25">
      <c r="A29" s="33">
        <v>21</v>
      </c>
      <c r="B29" s="27">
        <v>45072</v>
      </c>
      <c r="C29" s="23">
        <v>11111</v>
      </c>
      <c r="D29" s="23">
        <v>3195</v>
      </c>
      <c r="E29" s="23">
        <v>4771</v>
      </c>
      <c r="F29" s="23">
        <v>570</v>
      </c>
      <c r="G29" s="23">
        <v>2193</v>
      </c>
      <c r="H29" s="23">
        <v>50</v>
      </c>
      <c r="I29" s="28">
        <v>332</v>
      </c>
    </row>
    <row r="30" spans="1:9" x14ac:dyDescent="0.25">
      <c r="A30" s="33">
        <v>22</v>
      </c>
      <c r="B30" s="27">
        <v>45079</v>
      </c>
      <c r="C30" s="23">
        <v>8839</v>
      </c>
      <c r="D30" s="23">
        <v>2515</v>
      </c>
      <c r="E30" s="23">
        <v>3989</v>
      </c>
      <c r="F30" s="23">
        <v>459</v>
      </c>
      <c r="G30" s="23">
        <v>1616</v>
      </c>
      <c r="H30" s="23">
        <v>39</v>
      </c>
      <c r="I30" s="28">
        <v>221</v>
      </c>
    </row>
    <row r="31" spans="1:9" x14ac:dyDescent="0.25">
      <c r="A31" s="33">
        <v>23</v>
      </c>
      <c r="B31" s="27">
        <v>45086</v>
      </c>
      <c r="C31" s="23">
        <v>10940</v>
      </c>
      <c r="D31" s="23">
        <v>2978</v>
      </c>
      <c r="E31" s="23">
        <v>4928</v>
      </c>
      <c r="F31" s="23">
        <v>602</v>
      </c>
      <c r="G31" s="23">
        <v>2119</v>
      </c>
      <c r="H31" s="23">
        <v>31</v>
      </c>
      <c r="I31" s="28">
        <v>282</v>
      </c>
    </row>
    <row r="32" spans="1:9" x14ac:dyDescent="0.25">
      <c r="A32" s="33">
        <v>24</v>
      </c>
      <c r="B32" s="27">
        <v>45093</v>
      </c>
      <c r="C32" s="23">
        <v>10700</v>
      </c>
      <c r="D32" s="23">
        <v>3052</v>
      </c>
      <c r="E32" s="23">
        <v>4650</v>
      </c>
      <c r="F32" s="23">
        <v>548</v>
      </c>
      <c r="G32" s="23">
        <v>2108</v>
      </c>
      <c r="H32" s="23">
        <v>56</v>
      </c>
      <c r="I32" s="28">
        <v>286</v>
      </c>
    </row>
    <row r="33" spans="1:9" x14ac:dyDescent="0.25">
      <c r="A33" s="33">
        <v>25</v>
      </c>
      <c r="B33" s="27">
        <v>45100</v>
      </c>
      <c r="C33" s="23">
        <v>10472</v>
      </c>
      <c r="D33" s="23">
        <v>3118</v>
      </c>
      <c r="E33" s="23">
        <v>4470</v>
      </c>
      <c r="F33" s="23">
        <v>536</v>
      </c>
      <c r="G33" s="23">
        <v>2018</v>
      </c>
      <c r="H33" s="23">
        <v>25</v>
      </c>
      <c r="I33" s="28">
        <v>305</v>
      </c>
    </row>
    <row r="34" spans="1:9" x14ac:dyDescent="0.25">
      <c r="A34" s="33">
        <v>26</v>
      </c>
      <c r="B34" s="27">
        <v>45107</v>
      </c>
      <c r="C34" s="23">
        <v>10373</v>
      </c>
      <c r="D34" s="23">
        <v>3161</v>
      </c>
      <c r="E34" s="23">
        <v>4448</v>
      </c>
      <c r="F34" s="23">
        <v>538</v>
      </c>
      <c r="G34" s="23">
        <v>1976</v>
      </c>
      <c r="H34" s="23">
        <v>32</v>
      </c>
      <c r="I34" s="28">
        <v>218</v>
      </c>
    </row>
    <row r="35" spans="1:9" x14ac:dyDescent="0.25">
      <c r="A35" s="33">
        <v>27</v>
      </c>
      <c r="B35" s="27">
        <v>45114</v>
      </c>
      <c r="C35" s="23">
        <v>9736</v>
      </c>
      <c r="D35" s="23">
        <v>2891</v>
      </c>
      <c r="E35" s="23">
        <v>4114</v>
      </c>
      <c r="F35" s="23">
        <v>540</v>
      </c>
      <c r="G35" s="23">
        <v>1916</v>
      </c>
      <c r="H35" s="23">
        <v>24</v>
      </c>
      <c r="I35" s="28">
        <v>251</v>
      </c>
    </row>
    <row r="36" spans="1:9" x14ac:dyDescent="0.25">
      <c r="A36" s="33">
        <v>28</v>
      </c>
      <c r="B36" s="27">
        <v>45121</v>
      </c>
      <c r="C36" s="23">
        <v>10030</v>
      </c>
      <c r="D36" s="23">
        <v>2898</v>
      </c>
      <c r="E36" s="23">
        <v>4375</v>
      </c>
      <c r="F36" s="23">
        <v>568</v>
      </c>
      <c r="G36" s="23">
        <v>1883</v>
      </c>
      <c r="H36" s="23">
        <v>29</v>
      </c>
      <c r="I36" s="28">
        <v>277</v>
      </c>
    </row>
    <row r="37" spans="1:9" x14ac:dyDescent="0.25">
      <c r="A37" s="33">
        <v>29</v>
      </c>
      <c r="B37" s="27">
        <v>45128</v>
      </c>
      <c r="C37" s="23">
        <v>9659</v>
      </c>
      <c r="D37" s="23">
        <v>2946</v>
      </c>
      <c r="E37" s="23">
        <v>3976</v>
      </c>
      <c r="F37" s="23">
        <v>568</v>
      </c>
      <c r="G37" s="23">
        <v>1889</v>
      </c>
      <c r="H37" s="23">
        <v>36</v>
      </c>
      <c r="I37" s="28">
        <v>244</v>
      </c>
    </row>
    <row r="38" spans="1:9" x14ac:dyDescent="0.25">
      <c r="A38" s="33">
        <v>30</v>
      </c>
      <c r="B38" s="27">
        <v>45135</v>
      </c>
      <c r="C38" s="23">
        <v>9684</v>
      </c>
      <c r="D38" s="23">
        <v>2861</v>
      </c>
      <c r="E38" s="23">
        <v>4157</v>
      </c>
      <c r="F38" s="23">
        <v>574</v>
      </c>
      <c r="G38" s="23">
        <v>1812</v>
      </c>
      <c r="H38" s="23">
        <v>30</v>
      </c>
      <c r="I38" s="28">
        <v>250</v>
      </c>
    </row>
    <row r="39" spans="1:9" x14ac:dyDescent="0.25">
      <c r="A39" s="33">
        <v>31</v>
      </c>
      <c r="B39" s="27">
        <v>45142</v>
      </c>
      <c r="C39" s="23">
        <v>10038</v>
      </c>
      <c r="D39" s="23">
        <v>2994</v>
      </c>
      <c r="E39" s="23">
        <v>4189</v>
      </c>
      <c r="F39" s="23">
        <v>595</v>
      </c>
      <c r="G39" s="23">
        <v>1982</v>
      </c>
      <c r="H39" s="23">
        <v>13</v>
      </c>
      <c r="I39" s="28">
        <v>265</v>
      </c>
    </row>
    <row r="40" spans="1:9" x14ac:dyDescent="0.25">
      <c r="A40" s="33">
        <v>32</v>
      </c>
      <c r="B40" s="27">
        <v>45149</v>
      </c>
      <c r="C40" s="23">
        <v>9991</v>
      </c>
      <c r="D40" s="23">
        <v>2994</v>
      </c>
      <c r="E40" s="23">
        <v>4199</v>
      </c>
      <c r="F40" s="23">
        <v>543</v>
      </c>
      <c r="G40" s="23">
        <v>1946</v>
      </c>
      <c r="H40" s="23">
        <v>32</v>
      </c>
      <c r="I40" s="28">
        <v>277</v>
      </c>
    </row>
    <row r="41" spans="1:9" x14ac:dyDescent="0.25">
      <c r="A41" s="33">
        <v>33</v>
      </c>
      <c r="B41" s="27">
        <v>45156</v>
      </c>
      <c r="C41" s="23">
        <v>10063</v>
      </c>
      <c r="D41" s="23">
        <v>2894</v>
      </c>
      <c r="E41" s="23">
        <v>4286</v>
      </c>
      <c r="F41" s="23">
        <v>552</v>
      </c>
      <c r="G41" s="23">
        <v>2035</v>
      </c>
      <c r="H41" s="23">
        <v>24</v>
      </c>
      <c r="I41" s="28">
        <v>272</v>
      </c>
    </row>
    <row r="42" spans="1:9" x14ac:dyDescent="0.25">
      <c r="A42" s="33">
        <v>34</v>
      </c>
      <c r="B42" s="27">
        <v>45163</v>
      </c>
      <c r="C42" s="23">
        <v>10086</v>
      </c>
      <c r="D42" s="23">
        <v>2849</v>
      </c>
      <c r="E42" s="23">
        <v>4324</v>
      </c>
      <c r="F42" s="23">
        <v>565</v>
      </c>
      <c r="G42" s="23">
        <v>2028</v>
      </c>
      <c r="H42" s="23">
        <v>34</v>
      </c>
      <c r="I42" s="28">
        <v>286</v>
      </c>
    </row>
    <row r="43" spans="1:9" x14ac:dyDescent="0.25">
      <c r="A43" s="33">
        <v>35</v>
      </c>
      <c r="B43" s="27">
        <v>45170</v>
      </c>
      <c r="C43" s="23">
        <v>8441</v>
      </c>
      <c r="D43" s="23">
        <v>2328</v>
      </c>
      <c r="E43" s="23">
        <v>3590</v>
      </c>
      <c r="F43" s="23">
        <v>510</v>
      </c>
      <c r="G43" s="23">
        <v>1775</v>
      </c>
      <c r="H43" s="23">
        <v>18</v>
      </c>
      <c r="I43" s="28">
        <v>220</v>
      </c>
    </row>
    <row r="44" spans="1:9" x14ac:dyDescent="0.25">
      <c r="A44" s="10"/>
      <c r="B44" s="10"/>
      <c r="C44" s="10"/>
      <c r="D44" s="10"/>
      <c r="E44" s="10"/>
      <c r="F44" s="10"/>
      <c r="G44" s="10"/>
      <c r="H44" s="10"/>
      <c r="I44" s="10"/>
    </row>
    <row r="45" spans="1:9" ht="15.6" x14ac:dyDescent="0.3">
      <c r="A45" s="3" t="s">
        <v>251</v>
      </c>
    </row>
    <row r="46" spans="1:9" ht="46.8" x14ac:dyDescent="0.25">
      <c r="A46" s="12" t="s">
        <v>116</v>
      </c>
      <c r="B46" s="11" t="s">
        <v>131</v>
      </c>
      <c r="C46" s="21" t="s">
        <v>175</v>
      </c>
      <c r="D46" s="21" t="s">
        <v>244</v>
      </c>
      <c r="E46" s="21" t="s">
        <v>245</v>
      </c>
      <c r="F46" s="21" t="s">
        <v>246</v>
      </c>
      <c r="G46" s="21" t="s">
        <v>247</v>
      </c>
      <c r="H46" s="21" t="s">
        <v>248</v>
      </c>
      <c r="I46" s="24" t="s">
        <v>249</v>
      </c>
    </row>
    <row r="47" spans="1:9" ht="30" x14ac:dyDescent="0.25">
      <c r="A47" s="10" t="s">
        <v>250</v>
      </c>
      <c r="B47" s="25">
        <v>45170</v>
      </c>
      <c r="C47" s="22">
        <v>2037829</v>
      </c>
      <c r="D47" s="22">
        <v>575132</v>
      </c>
      <c r="E47" s="22">
        <v>881291</v>
      </c>
      <c r="F47" s="22">
        <v>94109</v>
      </c>
      <c r="G47" s="22">
        <v>433761</v>
      </c>
      <c r="H47" s="22">
        <v>6825</v>
      </c>
      <c r="I47" s="26">
        <v>46711</v>
      </c>
    </row>
    <row r="48" spans="1:9" x14ac:dyDescent="0.25">
      <c r="A48" s="33">
        <v>1</v>
      </c>
      <c r="B48" s="27">
        <v>44932</v>
      </c>
      <c r="C48" s="23">
        <v>13976</v>
      </c>
      <c r="D48" s="23">
        <v>3450</v>
      </c>
      <c r="E48" s="23">
        <v>6360</v>
      </c>
      <c r="F48" s="23">
        <v>550</v>
      </c>
      <c r="G48" s="23">
        <v>3348</v>
      </c>
      <c r="H48" s="23">
        <v>48</v>
      </c>
      <c r="I48" s="28">
        <v>220</v>
      </c>
    </row>
    <row r="49" spans="1:9" x14ac:dyDescent="0.25">
      <c r="A49" s="33">
        <v>2</v>
      </c>
      <c r="B49" s="27">
        <v>44939</v>
      </c>
      <c r="C49" s="23">
        <v>16158</v>
      </c>
      <c r="D49" s="23">
        <v>4165</v>
      </c>
      <c r="E49" s="23">
        <v>7331</v>
      </c>
      <c r="F49" s="23">
        <v>586</v>
      </c>
      <c r="G49" s="23">
        <v>3730</v>
      </c>
      <c r="H49" s="23">
        <v>50</v>
      </c>
      <c r="I49" s="28">
        <v>296</v>
      </c>
    </row>
    <row r="50" spans="1:9" x14ac:dyDescent="0.25">
      <c r="A50" s="33">
        <v>3</v>
      </c>
      <c r="B50" s="27">
        <v>44946</v>
      </c>
      <c r="C50" s="23">
        <v>14798</v>
      </c>
      <c r="D50" s="23">
        <v>4059</v>
      </c>
      <c r="E50" s="23">
        <v>6457</v>
      </c>
      <c r="F50" s="23">
        <v>586</v>
      </c>
      <c r="G50" s="23">
        <v>3314</v>
      </c>
      <c r="H50" s="23">
        <v>46</v>
      </c>
      <c r="I50" s="28">
        <v>336</v>
      </c>
    </row>
    <row r="51" spans="1:9" x14ac:dyDescent="0.25">
      <c r="A51" s="33">
        <v>4</v>
      </c>
      <c r="B51" s="27">
        <v>44953</v>
      </c>
      <c r="C51" s="23">
        <v>13290</v>
      </c>
      <c r="D51" s="23">
        <v>3881</v>
      </c>
      <c r="E51" s="23">
        <v>5569</v>
      </c>
      <c r="F51" s="23">
        <v>579</v>
      </c>
      <c r="G51" s="23">
        <v>2903</v>
      </c>
      <c r="H51" s="23">
        <v>61</v>
      </c>
      <c r="I51" s="28">
        <v>297</v>
      </c>
    </row>
    <row r="52" spans="1:9" x14ac:dyDescent="0.25">
      <c r="A52" s="33">
        <v>5</v>
      </c>
      <c r="B52" s="27">
        <v>44960</v>
      </c>
      <c r="C52" s="23">
        <v>12580</v>
      </c>
      <c r="D52" s="23">
        <v>3695</v>
      </c>
      <c r="E52" s="23">
        <v>5341</v>
      </c>
      <c r="F52" s="23">
        <v>576</v>
      </c>
      <c r="G52" s="23">
        <v>2637</v>
      </c>
      <c r="H52" s="23">
        <v>46</v>
      </c>
      <c r="I52" s="28">
        <v>285</v>
      </c>
    </row>
    <row r="53" spans="1:9" x14ac:dyDescent="0.25">
      <c r="A53" s="33">
        <v>6</v>
      </c>
      <c r="B53" s="27">
        <v>44967</v>
      </c>
      <c r="C53" s="23">
        <v>11895</v>
      </c>
      <c r="D53" s="23">
        <v>3537</v>
      </c>
      <c r="E53" s="23">
        <v>4959</v>
      </c>
      <c r="F53" s="23">
        <v>578</v>
      </c>
      <c r="G53" s="23">
        <v>2522</v>
      </c>
      <c r="H53" s="23">
        <v>38</v>
      </c>
      <c r="I53" s="28">
        <v>261</v>
      </c>
    </row>
    <row r="54" spans="1:9" x14ac:dyDescent="0.25">
      <c r="A54" s="33">
        <v>7</v>
      </c>
      <c r="B54" s="27">
        <v>44974</v>
      </c>
      <c r="C54" s="23">
        <v>11281</v>
      </c>
      <c r="D54" s="23">
        <v>3203</v>
      </c>
      <c r="E54" s="23">
        <v>4894</v>
      </c>
      <c r="F54" s="23">
        <v>566</v>
      </c>
      <c r="G54" s="23">
        <v>2334</v>
      </c>
      <c r="H54" s="23">
        <v>40</v>
      </c>
      <c r="I54" s="28">
        <v>244</v>
      </c>
    </row>
    <row r="55" spans="1:9" x14ac:dyDescent="0.25">
      <c r="A55" s="33">
        <v>8</v>
      </c>
      <c r="B55" s="27">
        <v>44981</v>
      </c>
      <c r="C55" s="23">
        <v>11222</v>
      </c>
      <c r="D55" s="23">
        <v>3172</v>
      </c>
      <c r="E55" s="23">
        <v>4893</v>
      </c>
      <c r="F55" s="23">
        <v>514</v>
      </c>
      <c r="G55" s="23">
        <v>2338</v>
      </c>
      <c r="H55" s="23">
        <v>45</v>
      </c>
      <c r="I55" s="28">
        <v>260</v>
      </c>
    </row>
    <row r="56" spans="1:9" x14ac:dyDescent="0.25">
      <c r="A56" s="33">
        <v>9</v>
      </c>
      <c r="B56" s="27">
        <v>44988</v>
      </c>
      <c r="C56" s="23">
        <v>11286</v>
      </c>
      <c r="D56" s="23">
        <v>3262</v>
      </c>
      <c r="E56" s="23">
        <v>4856</v>
      </c>
      <c r="F56" s="23">
        <v>569</v>
      </c>
      <c r="G56" s="23">
        <v>2317</v>
      </c>
      <c r="H56" s="23">
        <v>30</v>
      </c>
      <c r="I56" s="28">
        <v>252</v>
      </c>
    </row>
    <row r="57" spans="1:9" x14ac:dyDescent="0.25">
      <c r="A57" s="33">
        <v>10</v>
      </c>
      <c r="B57" s="27">
        <v>44995</v>
      </c>
      <c r="C57" s="23">
        <v>10735</v>
      </c>
      <c r="D57" s="23">
        <v>3036</v>
      </c>
      <c r="E57" s="23">
        <v>4616</v>
      </c>
      <c r="F57" s="23">
        <v>546</v>
      </c>
      <c r="G57" s="23">
        <v>2254</v>
      </c>
      <c r="H57" s="23">
        <v>35</v>
      </c>
      <c r="I57" s="28">
        <v>248</v>
      </c>
    </row>
    <row r="58" spans="1:9" x14ac:dyDescent="0.25">
      <c r="A58" s="33">
        <v>11</v>
      </c>
      <c r="B58" s="27">
        <v>45002</v>
      </c>
      <c r="C58" s="23">
        <v>11315</v>
      </c>
      <c r="D58" s="23">
        <v>3326</v>
      </c>
      <c r="E58" s="23">
        <v>4830</v>
      </c>
      <c r="F58" s="23">
        <v>514</v>
      </c>
      <c r="G58" s="23">
        <v>2354</v>
      </c>
      <c r="H58" s="23">
        <v>32</v>
      </c>
      <c r="I58" s="28">
        <v>259</v>
      </c>
    </row>
    <row r="59" spans="1:9" x14ac:dyDescent="0.25">
      <c r="A59" s="33">
        <v>12</v>
      </c>
      <c r="B59" s="27">
        <v>45009</v>
      </c>
      <c r="C59" s="23">
        <v>11256</v>
      </c>
      <c r="D59" s="23">
        <v>3212</v>
      </c>
      <c r="E59" s="23">
        <v>4931</v>
      </c>
      <c r="F59" s="23">
        <v>545</v>
      </c>
      <c r="G59" s="23">
        <v>2265</v>
      </c>
      <c r="H59" s="23">
        <v>37</v>
      </c>
      <c r="I59" s="28">
        <v>266</v>
      </c>
    </row>
    <row r="60" spans="1:9" x14ac:dyDescent="0.25">
      <c r="A60" s="33">
        <v>13</v>
      </c>
      <c r="B60" s="27">
        <v>45016</v>
      </c>
      <c r="C60" s="23">
        <v>10856</v>
      </c>
      <c r="D60" s="23">
        <v>3080</v>
      </c>
      <c r="E60" s="23">
        <v>4775</v>
      </c>
      <c r="F60" s="23">
        <v>509</v>
      </c>
      <c r="G60" s="23">
        <v>2197</v>
      </c>
      <c r="H60" s="23">
        <v>40</v>
      </c>
      <c r="I60" s="28">
        <v>255</v>
      </c>
    </row>
    <row r="61" spans="1:9" x14ac:dyDescent="0.25">
      <c r="A61" s="33">
        <v>14</v>
      </c>
      <c r="B61" s="27">
        <v>45023</v>
      </c>
      <c r="C61" s="23">
        <v>9455</v>
      </c>
      <c r="D61" s="23">
        <v>2647</v>
      </c>
      <c r="E61" s="23">
        <v>4197</v>
      </c>
      <c r="F61" s="23">
        <v>515</v>
      </c>
      <c r="G61" s="23">
        <v>1862</v>
      </c>
      <c r="H61" s="23">
        <v>38</v>
      </c>
      <c r="I61" s="28">
        <v>196</v>
      </c>
    </row>
    <row r="62" spans="1:9" x14ac:dyDescent="0.25">
      <c r="A62" s="33">
        <v>15</v>
      </c>
      <c r="B62" s="27">
        <v>45030</v>
      </c>
      <c r="C62" s="23">
        <v>9376</v>
      </c>
      <c r="D62" s="23">
        <v>2591</v>
      </c>
      <c r="E62" s="23">
        <v>4203</v>
      </c>
      <c r="F62" s="23">
        <v>514</v>
      </c>
      <c r="G62" s="23">
        <v>1855</v>
      </c>
      <c r="H62" s="23">
        <v>26</v>
      </c>
      <c r="I62" s="28">
        <v>187</v>
      </c>
    </row>
    <row r="63" spans="1:9" x14ac:dyDescent="0.25">
      <c r="A63" s="33">
        <v>16</v>
      </c>
      <c r="B63" s="27">
        <v>45037</v>
      </c>
      <c r="C63" s="23">
        <v>11574</v>
      </c>
      <c r="D63" s="23">
        <v>3219</v>
      </c>
      <c r="E63" s="23">
        <v>5074</v>
      </c>
      <c r="F63" s="23">
        <v>554</v>
      </c>
      <c r="G63" s="23">
        <v>2455</v>
      </c>
      <c r="H63" s="23">
        <v>31</v>
      </c>
      <c r="I63" s="28">
        <v>241</v>
      </c>
    </row>
    <row r="64" spans="1:9" x14ac:dyDescent="0.25">
      <c r="A64" s="33">
        <v>17</v>
      </c>
      <c r="B64" s="27">
        <v>45044</v>
      </c>
      <c r="C64" s="23">
        <v>11397</v>
      </c>
      <c r="D64" s="23">
        <v>3191</v>
      </c>
      <c r="E64" s="23">
        <v>5039</v>
      </c>
      <c r="F64" s="23">
        <v>570</v>
      </c>
      <c r="G64" s="23">
        <v>2291</v>
      </c>
      <c r="H64" s="23">
        <v>39</v>
      </c>
      <c r="I64" s="28">
        <v>267</v>
      </c>
    </row>
    <row r="65" spans="1:9" x14ac:dyDescent="0.25">
      <c r="A65" s="33">
        <v>18</v>
      </c>
      <c r="B65" s="27">
        <v>45051</v>
      </c>
      <c r="C65" s="23">
        <v>9483</v>
      </c>
      <c r="D65" s="23">
        <v>2699</v>
      </c>
      <c r="E65" s="23">
        <v>4092</v>
      </c>
      <c r="F65" s="23">
        <v>502</v>
      </c>
      <c r="G65" s="23">
        <v>1911</v>
      </c>
      <c r="H65" s="23">
        <v>40</v>
      </c>
      <c r="I65" s="28">
        <v>239</v>
      </c>
    </row>
    <row r="66" spans="1:9" x14ac:dyDescent="0.25">
      <c r="A66" s="33">
        <v>19</v>
      </c>
      <c r="B66" s="27">
        <v>45058</v>
      </c>
      <c r="C66" s="23">
        <v>9729</v>
      </c>
      <c r="D66" s="23">
        <v>2678</v>
      </c>
      <c r="E66" s="23">
        <v>4301</v>
      </c>
      <c r="F66" s="23">
        <v>495</v>
      </c>
      <c r="G66" s="23">
        <v>1997</v>
      </c>
      <c r="H66" s="23">
        <v>33</v>
      </c>
      <c r="I66" s="28">
        <v>225</v>
      </c>
    </row>
    <row r="67" spans="1:9" x14ac:dyDescent="0.25">
      <c r="A67" s="33">
        <v>20</v>
      </c>
      <c r="B67" s="27">
        <v>45065</v>
      </c>
      <c r="C67" s="23">
        <v>10932</v>
      </c>
      <c r="D67" s="23">
        <v>3172</v>
      </c>
      <c r="E67" s="23">
        <v>4691</v>
      </c>
      <c r="F67" s="23">
        <v>537</v>
      </c>
      <c r="G67" s="23">
        <v>2231</v>
      </c>
      <c r="H67" s="23">
        <v>37</v>
      </c>
      <c r="I67" s="28">
        <v>264</v>
      </c>
    </row>
    <row r="68" spans="1:9" x14ac:dyDescent="0.25">
      <c r="A68" s="33">
        <v>21</v>
      </c>
      <c r="B68" s="27">
        <v>45072</v>
      </c>
      <c r="C68" s="23">
        <v>10402</v>
      </c>
      <c r="D68" s="23">
        <v>3002</v>
      </c>
      <c r="E68" s="23">
        <v>4432</v>
      </c>
      <c r="F68" s="23">
        <v>554</v>
      </c>
      <c r="G68" s="23">
        <v>2077</v>
      </c>
      <c r="H68" s="23">
        <v>48</v>
      </c>
      <c r="I68" s="28">
        <v>289</v>
      </c>
    </row>
    <row r="69" spans="1:9" x14ac:dyDescent="0.25">
      <c r="A69" s="33">
        <v>22</v>
      </c>
      <c r="B69" s="27">
        <v>45079</v>
      </c>
      <c r="C69" s="23">
        <v>8253</v>
      </c>
      <c r="D69" s="23">
        <v>2345</v>
      </c>
      <c r="E69" s="23">
        <v>3681</v>
      </c>
      <c r="F69" s="23">
        <v>448</v>
      </c>
      <c r="G69" s="23">
        <v>1545</v>
      </c>
      <c r="H69" s="23">
        <v>36</v>
      </c>
      <c r="I69" s="28">
        <v>198</v>
      </c>
    </row>
    <row r="70" spans="1:9" x14ac:dyDescent="0.25">
      <c r="A70" s="33">
        <v>23</v>
      </c>
      <c r="B70" s="27">
        <v>45086</v>
      </c>
      <c r="C70" s="23">
        <v>10277</v>
      </c>
      <c r="D70" s="23">
        <v>2788</v>
      </c>
      <c r="E70" s="23">
        <v>4590</v>
      </c>
      <c r="F70" s="23">
        <v>586</v>
      </c>
      <c r="G70" s="23">
        <v>2023</v>
      </c>
      <c r="H70" s="23">
        <v>30</v>
      </c>
      <c r="I70" s="28">
        <v>260</v>
      </c>
    </row>
    <row r="71" spans="1:9" x14ac:dyDescent="0.25">
      <c r="A71" s="33">
        <v>24</v>
      </c>
      <c r="B71" s="27">
        <v>45093</v>
      </c>
      <c r="C71" s="23">
        <v>10021</v>
      </c>
      <c r="D71" s="23">
        <v>2852</v>
      </c>
      <c r="E71" s="23">
        <v>4318</v>
      </c>
      <c r="F71" s="23">
        <v>536</v>
      </c>
      <c r="G71" s="23">
        <v>2003</v>
      </c>
      <c r="H71" s="23">
        <v>52</v>
      </c>
      <c r="I71" s="28">
        <v>260</v>
      </c>
    </row>
    <row r="72" spans="1:9" x14ac:dyDescent="0.25">
      <c r="A72" s="33">
        <v>25</v>
      </c>
      <c r="B72" s="27">
        <v>45100</v>
      </c>
      <c r="C72" s="23">
        <v>9807</v>
      </c>
      <c r="D72" s="23">
        <v>2937</v>
      </c>
      <c r="E72" s="23">
        <v>4123</v>
      </c>
      <c r="F72" s="23">
        <v>523</v>
      </c>
      <c r="G72" s="23">
        <v>1929</v>
      </c>
      <c r="H72" s="23">
        <v>23</v>
      </c>
      <c r="I72" s="28">
        <v>272</v>
      </c>
    </row>
    <row r="73" spans="1:9" x14ac:dyDescent="0.25">
      <c r="A73" s="33">
        <v>26</v>
      </c>
      <c r="B73" s="27">
        <v>45107</v>
      </c>
      <c r="C73" s="23">
        <v>9666</v>
      </c>
      <c r="D73" s="23">
        <v>2955</v>
      </c>
      <c r="E73" s="23">
        <v>4073</v>
      </c>
      <c r="F73" s="23">
        <v>521</v>
      </c>
      <c r="G73" s="23">
        <v>1889</v>
      </c>
      <c r="H73" s="23">
        <v>32</v>
      </c>
      <c r="I73" s="28">
        <v>196</v>
      </c>
    </row>
    <row r="74" spans="1:9" x14ac:dyDescent="0.25">
      <c r="A74" s="33">
        <v>27</v>
      </c>
      <c r="B74" s="27">
        <v>45114</v>
      </c>
      <c r="C74" s="23">
        <v>9079</v>
      </c>
      <c r="D74" s="23">
        <v>2705</v>
      </c>
      <c r="E74" s="23">
        <v>3796</v>
      </c>
      <c r="F74" s="23">
        <v>525</v>
      </c>
      <c r="G74" s="23">
        <v>1811</v>
      </c>
      <c r="H74" s="23">
        <v>22</v>
      </c>
      <c r="I74" s="28">
        <v>220</v>
      </c>
    </row>
    <row r="75" spans="1:9" x14ac:dyDescent="0.25">
      <c r="A75" s="33">
        <v>28</v>
      </c>
      <c r="B75" s="27">
        <v>45121</v>
      </c>
      <c r="C75" s="23">
        <v>9353</v>
      </c>
      <c r="D75" s="23">
        <v>2692</v>
      </c>
      <c r="E75" s="23">
        <v>4027</v>
      </c>
      <c r="F75" s="23">
        <v>553</v>
      </c>
      <c r="G75" s="23">
        <v>1799</v>
      </c>
      <c r="H75" s="23">
        <v>28</v>
      </c>
      <c r="I75" s="28">
        <v>254</v>
      </c>
    </row>
    <row r="76" spans="1:9" x14ac:dyDescent="0.25">
      <c r="A76" s="33">
        <v>29</v>
      </c>
      <c r="B76" s="27">
        <v>45128</v>
      </c>
      <c r="C76" s="23">
        <v>9011</v>
      </c>
      <c r="D76" s="23">
        <v>2737</v>
      </c>
      <c r="E76" s="23">
        <v>3655</v>
      </c>
      <c r="F76" s="23">
        <v>552</v>
      </c>
      <c r="G76" s="23">
        <v>1815</v>
      </c>
      <c r="H76" s="23">
        <v>35</v>
      </c>
      <c r="I76" s="28">
        <v>217</v>
      </c>
    </row>
    <row r="77" spans="1:9" x14ac:dyDescent="0.25">
      <c r="A77" s="33">
        <v>30</v>
      </c>
      <c r="B77" s="27">
        <v>45135</v>
      </c>
      <c r="C77" s="23">
        <v>9017</v>
      </c>
      <c r="D77" s="23">
        <v>2680</v>
      </c>
      <c r="E77" s="23">
        <v>3809</v>
      </c>
      <c r="F77" s="23">
        <v>555</v>
      </c>
      <c r="G77" s="23">
        <v>1715</v>
      </c>
      <c r="H77" s="23">
        <v>28</v>
      </c>
      <c r="I77" s="28">
        <v>230</v>
      </c>
    </row>
    <row r="78" spans="1:9" x14ac:dyDescent="0.25">
      <c r="A78" s="33">
        <v>31</v>
      </c>
      <c r="B78" s="27">
        <v>45142</v>
      </c>
      <c r="C78" s="23">
        <v>9365</v>
      </c>
      <c r="D78" s="23">
        <v>2814</v>
      </c>
      <c r="E78" s="23">
        <v>3839</v>
      </c>
      <c r="F78" s="23">
        <v>580</v>
      </c>
      <c r="G78" s="23">
        <v>1887</v>
      </c>
      <c r="H78" s="23">
        <v>12</v>
      </c>
      <c r="I78" s="28">
        <v>233</v>
      </c>
    </row>
    <row r="79" spans="1:9" x14ac:dyDescent="0.25">
      <c r="A79" s="33">
        <v>32</v>
      </c>
      <c r="B79" s="27">
        <v>45149</v>
      </c>
      <c r="C79" s="23">
        <v>9407</v>
      </c>
      <c r="D79" s="23">
        <v>2811</v>
      </c>
      <c r="E79" s="23">
        <v>3919</v>
      </c>
      <c r="F79" s="23">
        <v>530</v>
      </c>
      <c r="G79" s="23">
        <v>1862</v>
      </c>
      <c r="H79" s="23">
        <v>30</v>
      </c>
      <c r="I79" s="28">
        <v>255</v>
      </c>
    </row>
    <row r="80" spans="1:9" x14ac:dyDescent="0.25">
      <c r="A80" s="33">
        <v>33</v>
      </c>
      <c r="B80" s="27">
        <v>45156</v>
      </c>
      <c r="C80" s="23">
        <v>9373</v>
      </c>
      <c r="D80" s="23">
        <v>2709</v>
      </c>
      <c r="E80" s="23">
        <v>3924</v>
      </c>
      <c r="F80" s="23">
        <v>540</v>
      </c>
      <c r="G80" s="23">
        <v>1929</v>
      </c>
      <c r="H80" s="23">
        <v>23</v>
      </c>
      <c r="I80" s="28">
        <v>248</v>
      </c>
    </row>
    <row r="81" spans="1:9" x14ac:dyDescent="0.25">
      <c r="A81" s="33">
        <v>34</v>
      </c>
      <c r="B81" s="27">
        <v>45163</v>
      </c>
      <c r="C81" s="23">
        <v>9364</v>
      </c>
      <c r="D81" s="23">
        <v>2664</v>
      </c>
      <c r="E81" s="23">
        <v>3941</v>
      </c>
      <c r="F81" s="23">
        <v>549</v>
      </c>
      <c r="G81" s="23">
        <v>1934</v>
      </c>
      <c r="H81" s="23">
        <v>31</v>
      </c>
      <c r="I81" s="28">
        <v>245</v>
      </c>
    </row>
    <row r="82" spans="1:9" x14ac:dyDescent="0.25">
      <c r="A82" s="33">
        <v>35</v>
      </c>
      <c r="B82" s="27">
        <v>45170</v>
      </c>
      <c r="C82" s="23">
        <v>7870</v>
      </c>
      <c r="D82" s="23">
        <v>2157</v>
      </c>
      <c r="E82" s="23">
        <v>3318</v>
      </c>
      <c r="F82" s="23">
        <v>499</v>
      </c>
      <c r="G82" s="23">
        <v>1684</v>
      </c>
      <c r="H82" s="23">
        <v>17</v>
      </c>
      <c r="I82" s="28">
        <v>195</v>
      </c>
    </row>
    <row r="83" spans="1:9" x14ac:dyDescent="0.25">
      <c r="A83" s="10"/>
      <c r="B83" s="10"/>
      <c r="C83" s="10"/>
      <c r="D83" s="10"/>
      <c r="E83" s="10"/>
      <c r="F83" s="10"/>
      <c r="G83" s="10"/>
      <c r="H83" s="10"/>
      <c r="I83" s="10"/>
    </row>
    <row r="84" spans="1:9" ht="15.6" x14ac:dyDescent="0.3">
      <c r="A84" s="3" t="s">
        <v>252</v>
      </c>
    </row>
    <row r="85" spans="1:9" ht="46.8" x14ac:dyDescent="0.25">
      <c r="A85" s="12" t="s">
        <v>116</v>
      </c>
      <c r="B85" s="11" t="s">
        <v>131</v>
      </c>
      <c r="C85" s="35" t="s">
        <v>175</v>
      </c>
      <c r="D85" s="35" t="s">
        <v>244</v>
      </c>
      <c r="E85" s="35" t="s">
        <v>245</v>
      </c>
      <c r="F85" s="35" t="s">
        <v>246</v>
      </c>
      <c r="G85" s="35" t="s">
        <v>247</v>
      </c>
      <c r="H85" s="35" t="s">
        <v>248</v>
      </c>
      <c r="I85" s="36" t="s">
        <v>249</v>
      </c>
    </row>
    <row r="86" spans="1:9" ht="30" x14ac:dyDescent="0.25">
      <c r="A86" s="10" t="s">
        <v>250</v>
      </c>
      <c r="B86" s="25">
        <v>45170</v>
      </c>
      <c r="C86" s="22">
        <v>134385</v>
      </c>
      <c r="D86" s="22">
        <v>39606</v>
      </c>
      <c r="E86" s="22">
        <v>66374</v>
      </c>
      <c r="F86" s="22">
        <v>2534</v>
      </c>
      <c r="G86" s="22">
        <v>21909</v>
      </c>
      <c r="H86" s="22">
        <v>398</v>
      </c>
      <c r="I86" s="26">
        <v>3564</v>
      </c>
    </row>
    <row r="87" spans="1:9" x14ac:dyDescent="0.25">
      <c r="A87" s="33">
        <v>1</v>
      </c>
      <c r="B87" s="27">
        <v>44932</v>
      </c>
      <c r="C87" s="23">
        <v>979</v>
      </c>
      <c r="D87" s="23">
        <v>248</v>
      </c>
      <c r="E87" s="23">
        <v>490</v>
      </c>
      <c r="F87" s="23">
        <v>13</v>
      </c>
      <c r="G87" s="23">
        <v>207</v>
      </c>
      <c r="H87" s="23">
        <v>2</v>
      </c>
      <c r="I87" s="28">
        <v>19</v>
      </c>
    </row>
    <row r="88" spans="1:9" x14ac:dyDescent="0.25">
      <c r="A88" s="33">
        <v>2</v>
      </c>
      <c r="B88" s="27">
        <v>44939</v>
      </c>
      <c r="C88" s="23">
        <v>1183</v>
      </c>
      <c r="D88" s="23">
        <v>350</v>
      </c>
      <c r="E88" s="23">
        <v>564</v>
      </c>
      <c r="F88" s="23">
        <v>21</v>
      </c>
      <c r="G88" s="23">
        <v>223</v>
      </c>
      <c r="H88" s="23">
        <v>2</v>
      </c>
      <c r="I88" s="28">
        <v>23</v>
      </c>
    </row>
    <row r="89" spans="1:9" x14ac:dyDescent="0.25">
      <c r="A89" s="33">
        <v>3</v>
      </c>
      <c r="B89" s="27">
        <v>44946</v>
      </c>
      <c r="C89" s="23">
        <v>974</v>
      </c>
      <c r="D89" s="23">
        <v>286</v>
      </c>
      <c r="E89" s="23">
        <v>483</v>
      </c>
      <c r="F89" s="23">
        <v>12</v>
      </c>
      <c r="G89" s="23">
        <v>162</v>
      </c>
      <c r="H89" s="23">
        <v>3</v>
      </c>
      <c r="I89" s="28">
        <v>28</v>
      </c>
    </row>
    <row r="90" spans="1:9" x14ac:dyDescent="0.25">
      <c r="A90" s="33">
        <v>4</v>
      </c>
      <c r="B90" s="27">
        <v>44953</v>
      </c>
      <c r="C90" s="23">
        <v>816</v>
      </c>
      <c r="D90" s="23">
        <v>250</v>
      </c>
      <c r="E90" s="23">
        <v>383</v>
      </c>
      <c r="F90" s="23">
        <v>21</v>
      </c>
      <c r="G90" s="23">
        <v>137</v>
      </c>
      <c r="H90" s="23">
        <v>2</v>
      </c>
      <c r="I90" s="28">
        <v>23</v>
      </c>
    </row>
    <row r="91" spans="1:9" x14ac:dyDescent="0.25">
      <c r="A91" s="33">
        <v>5</v>
      </c>
      <c r="B91" s="27">
        <v>44960</v>
      </c>
      <c r="C91" s="23">
        <v>807</v>
      </c>
      <c r="D91" s="23">
        <v>234</v>
      </c>
      <c r="E91" s="23">
        <v>413</v>
      </c>
      <c r="F91" s="23">
        <v>12</v>
      </c>
      <c r="G91" s="23">
        <v>124</v>
      </c>
      <c r="H91" s="23">
        <v>1</v>
      </c>
      <c r="I91" s="28">
        <v>23</v>
      </c>
    </row>
    <row r="92" spans="1:9" x14ac:dyDescent="0.25">
      <c r="A92" s="33">
        <v>6</v>
      </c>
      <c r="B92" s="27">
        <v>44967</v>
      </c>
      <c r="C92" s="23">
        <v>755</v>
      </c>
      <c r="D92" s="23">
        <v>230</v>
      </c>
      <c r="E92" s="23">
        <v>366</v>
      </c>
      <c r="F92" s="23">
        <v>14</v>
      </c>
      <c r="G92" s="23">
        <v>110</v>
      </c>
      <c r="H92" s="23">
        <v>5</v>
      </c>
      <c r="I92" s="28">
        <v>30</v>
      </c>
    </row>
    <row r="93" spans="1:9" x14ac:dyDescent="0.25">
      <c r="A93" s="33">
        <v>7</v>
      </c>
      <c r="B93" s="27">
        <v>44974</v>
      </c>
      <c r="C93" s="23">
        <v>720</v>
      </c>
      <c r="D93" s="23">
        <v>236</v>
      </c>
      <c r="E93" s="23">
        <v>332</v>
      </c>
      <c r="F93" s="23">
        <v>13</v>
      </c>
      <c r="G93" s="23">
        <v>115</v>
      </c>
      <c r="H93" s="23">
        <v>1</v>
      </c>
      <c r="I93" s="28">
        <v>23</v>
      </c>
    </row>
    <row r="94" spans="1:9" x14ac:dyDescent="0.25">
      <c r="A94" s="33">
        <v>8</v>
      </c>
      <c r="B94" s="27">
        <v>44981</v>
      </c>
      <c r="C94" s="23">
        <v>707</v>
      </c>
      <c r="D94" s="23">
        <v>230</v>
      </c>
      <c r="E94" s="23">
        <v>349</v>
      </c>
      <c r="F94" s="23">
        <v>15</v>
      </c>
      <c r="G94" s="23">
        <v>93</v>
      </c>
      <c r="H94" s="23">
        <v>1</v>
      </c>
      <c r="I94" s="28">
        <v>19</v>
      </c>
    </row>
    <row r="95" spans="1:9" x14ac:dyDescent="0.25">
      <c r="A95" s="33">
        <v>9</v>
      </c>
      <c r="B95" s="27">
        <v>44988</v>
      </c>
      <c r="C95" s="23">
        <v>740</v>
      </c>
      <c r="D95" s="23">
        <v>222</v>
      </c>
      <c r="E95" s="23">
        <v>375</v>
      </c>
      <c r="F95" s="23">
        <v>16</v>
      </c>
      <c r="G95" s="23">
        <v>105</v>
      </c>
      <c r="H95" s="23">
        <v>1</v>
      </c>
      <c r="I95" s="28">
        <v>21</v>
      </c>
    </row>
    <row r="96" spans="1:9" x14ac:dyDescent="0.25">
      <c r="A96" s="33">
        <v>10</v>
      </c>
      <c r="B96" s="27">
        <v>44995</v>
      </c>
      <c r="C96" s="23">
        <v>654</v>
      </c>
      <c r="D96" s="23">
        <v>208</v>
      </c>
      <c r="E96" s="23">
        <v>318</v>
      </c>
      <c r="F96" s="23">
        <v>18</v>
      </c>
      <c r="G96" s="23">
        <v>97</v>
      </c>
      <c r="H96" s="23">
        <v>2</v>
      </c>
      <c r="I96" s="28">
        <v>11</v>
      </c>
    </row>
    <row r="97" spans="1:9" x14ac:dyDescent="0.25">
      <c r="A97" s="33">
        <v>11</v>
      </c>
      <c r="B97" s="27">
        <v>45002</v>
      </c>
      <c r="C97" s="23">
        <v>795</v>
      </c>
      <c r="D97" s="23">
        <v>249</v>
      </c>
      <c r="E97" s="23">
        <v>378</v>
      </c>
      <c r="F97" s="23">
        <v>20</v>
      </c>
      <c r="G97" s="23">
        <v>126</v>
      </c>
      <c r="H97" s="23">
        <v>1</v>
      </c>
      <c r="I97" s="28">
        <v>21</v>
      </c>
    </row>
    <row r="98" spans="1:9" x14ac:dyDescent="0.25">
      <c r="A98" s="33">
        <v>12</v>
      </c>
      <c r="B98" s="27">
        <v>45009</v>
      </c>
      <c r="C98" s="23">
        <v>778</v>
      </c>
      <c r="D98" s="23">
        <v>208</v>
      </c>
      <c r="E98" s="23">
        <v>388</v>
      </c>
      <c r="F98" s="23">
        <v>23</v>
      </c>
      <c r="G98" s="23">
        <v>125</v>
      </c>
      <c r="H98" s="23">
        <v>2</v>
      </c>
      <c r="I98" s="28">
        <v>32</v>
      </c>
    </row>
    <row r="99" spans="1:9" x14ac:dyDescent="0.25">
      <c r="A99" s="33">
        <v>13</v>
      </c>
      <c r="B99" s="27">
        <v>45016</v>
      </c>
      <c r="C99" s="23">
        <v>708</v>
      </c>
      <c r="D99" s="23">
        <v>202</v>
      </c>
      <c r="E99" s="23">
        <v>352</v>
      </c>
      <c r="F99" s="23">
        <v>19</v>
      </c>
      <c r="G99" s="23">
        <v>116</v>
      </c>
      <c r="H99" s="23">
        <v>2</v>
      </c>
      <c r="I99" s="28">
        <v>17</v>
      </c>
    </row>
    <row r="100" spans="1:9" x14ac:dyDescent="0.25">
      <c r="A100" s="33">
        <v>14</v>
      </c>
      <c r="B100" s="27">
        <v>45023</v>
      </c>
      <c r="C100" s="23">
        <v>616</v>
      </c>
      <c r="D100" s="23">
        <v>169</v>
      </c>
      <c r="E100" s="23">
        <v>322</v>
      </c>
      <c r="F100" s="23">
        <v>18</v>
      </c>
      <c r="G100" s="23">
        <v>84</v>
      </c>
      <c r="H100" s="23">
        <v>6</v>
      </c>
      <c r="I100" s="28">
        <v>17</v>
      </c>
    </row>
    <row r="101" spans="1:9" x14ac:dyDescent="0.25">
      <c r="A101" s="33">
        <v>15</v>
      </c>
      <c r="B101" s="27">
        <v>45030</v>
      </c>
      <c r="C101" s="23">
        <v>578</v>
      </c>
      <c r="D101" s="23">
        <v>164</v>
      </c>
      <c r="E101" s="23">
        <v>308</v>
      </c>
      <c r="F101" s="23">
        <v>9</v>
      </c>
      <c r="G101" s="23">
        <v>87</v>
      </c>
      <c r="H101" s="23">
        <v>0</v>
      </c>
      <c r="I101" s="28">
        <v>10</v>
      </c>
    </row>
    <row r="102" spans="1:9" x14ac:dyDescent="0.25">
      <c r="A102" s="33">
        <v>16</v>
      </c>
      <c r="B102" s="27">
        <v>45037</v>
      </c>
      <c r="C102" s="23">
        <v>821</v>
      </c>
      <c r="D102" s="23">
        <v>215</v>
      </c>
      <c r="E102" s="23">
        <v>416</v>
      </c>
      <c r="F102" s="23">
        <v>12</v>
      </c>
      <c r="G102" s="23">
        <v>146</v>
      </c>
      <c r="H102" s="23">
        <v>2</v>
      </c>
      <c r="I102" s="28">
        <v>30</v>
      </c>
    </row>
    <row r="103" spans="1:9" x14ac:dyDescent="0.25">
      <c r="A103" s="33">
        <v>17</v>
      </c>
      <c r="B103" s="27">
        <v>45044</v>
      </c>
      <c r="C103" s="23">
        <v>732</v>
      </c>
      <c r="D103" s="23">
        <v>225</v>
      </c>
      <c r="E103" s="23">
        <v>356</v>
      </c>
      <c r="F103" s="23">
        <v>22</v>
      </c>
      <c r="G103" s="23">
        <v>104</v>
      </c>
      <c r="H103" s="23">
        <v>1</v>
      </c>
      <c r="I103" s="28">
        <v>24</v>
      </c>
    </row>
    <row r="104" spans="1:9" x14ac:dyDescent="0.25">
      <c r="A104" s="33">
        <v>18</v>
      </c>
      <c r="B104" s="27">
        <v>45051</v>
      </c>
      <c r="C104" s="23">
        <v>647</v>
      </c>
      <c r="D104" s="23">
        <v>196</v>
      </c>
      <c r="E104" s="23">
        <v>330</v>
      </c>
      <c r="F104" s="23">
        <v>7</v>
      </c>
      <c r="G104" s="23">
        <v>86</v>
      </c>
      <c r="H104" s="23">
        <v>4</v>
      </c>
      <c r="I104" s="28">
        <v>24</v>
      </c>
    </row>
    <row r="105" spans="1:9" x14ac:dyDescent="0.25">
      <c r="A105" s="33">
        <v>19</v>
      </c>
      <c r="B105" s="27">
        <v>45058</v>
      </c>
      <c r="C105" s="23">
        <v>610</v>
      </c>
      <c r="D105" s="23">
        <v>181</v>
      </c>
      <c r="E105" s="23">
        <v>304</v>
      </c>
      <c r="F105" s="23">
        <v>14</v>
      </c>
      <c r="G105" s="23">
        <v>83</v>
      </c>
      <c r="H105" s="23">
        <v>4</v>
      </c>
      <c r="I105" s="28">
        <v>24</v>
      </c>
    </row>
    <row r="106" spans="1:9" x14ac:dyDescent="0.25">
      <c r="A106" s="33">
        <v>20</v>
      </c>
      <c r="B106" s="27">
        <v>45065</v>
      </c>
      <c r="C106" s="23">
        <v>697</v>
      </c>
      <c r="D106" s="23">
        <v>202</v>
      </c>
      <c r="E106" s="23">
        <v>354</v>
      </c>
      <c r="F106" s="23">
        <v>21</v>
      </c>
      <c r="G106" s="23">
        <v>95</v>
      </c>
      <c r="H106" s="23">
        <v>2</v>
      </c>
      <c r="I106" s="28">
        <v>23</v>
      </c>
    </row>
    <row r="107" spans="1:9" x14ac:dyDescent="0.25">
      <c r="A107" s="33">
        <v>21</v>
      </c>
      <c r="B107" s="27">
        <v>45072</v>
      </c>
      <c r="C107" s="23">
        <v>673</v>
      </c>
      <c r="D107" s="23">
        <v>192</v>
      </c>
      <c r="E107" s="23">
        <v>321</v>
      </c>
      <c r="F107" s="23">
        <v>14</v>
      </c>
      <c r="G107" s="23">
        <v>115</v>
      </c>
      <c r="H107" s="23">
        <v>2</v>
      </c>
      <c r="I107" s="28">
        <v>29</v>
      </c>
    </row>
    <row r="108" spans="1:9" x14ac:dyDescent="0.25">
      <c r="A108" s="33">
        <v>22</v>
      </c>
      <c r="B108" s="27">
        <v>45079</v>
      </c>
      <c r="C108" s="23">
        <v>557</v>
      </c>
      <c r="D108" s="23">
        <v>170</v>
      </c>
      <c r="E108" s="23">
        <v>294</v>
      </c>
      <c r="F108" s="23">
        <v>10</v>
      </c>
      <c r="G108" s="23">
        <v>68</v>
      </c>
      <c r="H108" s="23">
        <v>2</v>
      </c>
      <c r="I108" s="28">
        <v>13</v>
      </c>
    </row>
    <row r="109" spans="1:9" x14ac:dyDescent="0.25">
      <c r="A109" s="33">
        <v>23</v>
      </c>
      <c r="B109" s="27">
        <v>45086</v>
      </c>
      <c r="C109" s="23">
        <v>640</v>
      </c>
      <c r="D109" s="23">
        <v>190</v>
      </c>
      <c r="E109" s="23">
        <v>320</v>
      </c>
      <c r="F109" s="23">
        <v>16</v>
      </c>
      <c r="G109" s="23">
        <v>96</v>
      </c>
      <c r="H109" s="23">
        <v>1</v>
      </c>
      <c r="I109" s="28">
        <v>17</v>
      </c>
    </row>
    <row r="110" spans="1:9" x14ac:dyDescent="0.25">
      <c r="A110" s="33">
        <v>24</v>
      </c>
      <c r="B110" s="27">
        <v>45093</v>
      </c>
      <c r="C110" s="23">
        <v>652</v>
      </c>
      <c r="D110" s="23">
        <v>200</v>
      </c>
      <c r="E110" s="23">
        <v>319</v>
      </c>
      <c r="F110" s="23">
        <v>11</v>
      </c>
      <c r="G110" s="23">
        <v>103</v>
      </c>
      <c r="H110" s="23">
        <v>3</v>
      </c>
      <c r="I110" s="28">
        <v>16</v>
      </c>
    </row>
    <row r="111" spans="1:9" x14ac:dyDescent="0.25">
      <c r="A111" s="33">
        <v>25</v>
      </c>
      <c r="B111" s="27">
        <v>45100</v>
      </c>
      <c r="C111" s="23">
        <v>632</v>
      </c>
      <c r="D111" s="23">
        <v>179</v>
      </c>
      <c r="E111" s="23">
        <v>328</v>
      </c>
      <c r="F111" s="23">
        <v>11</v>
      </c>
      <c r="G111" s="23">
        <v>87</v>
      </c>
      <c r="H111" s="23">
        <v>2</v>
      </c>
      <c r="I111" s="28">
        <v>25</v>
      </c>
    </row>
    <row r="112" spans="1:9" x14ac:dyDescent="0.25">
      <c r="A112" s="33">
        <v>26</v>
      </c>
      <c r="B112" s="27">
        <v>45107</v>
      </c>
      <c r="C112" s="23">
        <v>685</v>
      </c>
      <c r="D112" s="23">
        <v>206</v>
      </c>
      <c r="E112" s="23">
        <v>362</v>
      </c>
      <c r="F112" s="23">
        <v>16</v>
      </c>
      <c r="G112" s="23">
        <v>86</v>
      </c>
      <c r="H112" s="23">
        <v>0</v>
      </c>
      <c r="I112" s="28">
        <v>15</v>
      </c>
    </row>
    <row r="113" spans="1:9" x14ac:dyDescent="0.25">
      <c r="A113" s="33">
        <v>27</v>
      </c>
      <c r="B113" s="27">
        <v>45114</v>
      </c>
      <c r="C113" s="23">
        <v>632</v>
      </c>
      <c r="D113" s="23">
        <v>186</v>
      </c>
      <c r="E113" s="23">
        <v>304</v>
      </c>
      <c r="F113" s="23">
        <v>14</v>
      </c>
      <c r="G113" s="23">
        <v>104</v>
      </c>
      <c r="H113" s="23">
        <v>2</v>
      </c>
      <c r="I113" s="28">
        <v>22</v>
      </c>
    </row>
    <row r="114" spans="1:9" x14ac:dyDescent="0.25">
      <c r="A114" s="33">
        <v>28</v>
      </c>
      <c r="B114" s="27">
        <v>45121</v>
      </c>
      <c r="C114" s="23">
        <v>653</v>
      </c>
      <c r="D114" s="23">
        <v>206</v>
      </c>
      <c r="E114" s="23">
        <v>332</v>
      </c>
      <c r="F114" s="23">
        <v>15</v>
      </c>
      <c r="G114" s="23">
        <v>83</v>
      </c>
      <c r="H114" s="23">
        <v>1</v>
      </c>
      <c r="I114" s="28">
        <v>16</v>
      </c>
    </row>
    <row r="115" spans="1:9" x14ac:dyDescent="0.25">
      <c r="A115" s="33">
        <v>29</v>
      </c>
      <c r="B115" s="27">
        <v>45128</v>
      </c>
      <c r="C115" s="23">
        <v>623</v>
      </c>
      <c r="D115" s="23">
        <v>209</v>
      </c>
      <c r="E115" s="23">
        <v>309</v>
      </c>
      <c r="F115" s="23">
        <v>14</v>
      </c>
      <c r="G115" s="23">
        <v>74</v>
      </c>
      <c r="H115" s="23">
        <v>1</v>
      </c>
      <c r="I115" s="28">
        <v>16</v>
      </c>
    </row>
    <row r="116" spans="1:9" x14ac:dyDescent="0.25">
      <c r="A116" s="33">
        <v>30</v>
      </c>
      <c r="B116" s="27">
        <v>45135</v>
      </c>
      <c r="C116" s="23">
        <v>639</v>
      </c>
      <c r="D116" s="23">
        <v>181</v>
      </c>
      <c r="E116" s="23">
        <v>330</v>
      </c>
      <c r="F116" s="23">
        <v>19</v>
      </c>
      <c r="G116" s="23">
        <v>95</v>
      </c>
      <c r="H116" s="23">
        <v>2</v>
      </c>
      <c r="I116" s="28">
        <v>12</v>
      </c>
    </row>
    <row r="117" spans="1:9" x14ac:dyDescent="0.25">
      <c r="A117" s="33">
        <v>31</v>
      </c>
      <c r="B117" s="27">
        <v>45142</v>
      </c>
      <c r="C117" s="23">
        <v>633</v>
      </c>
      <c r="D117" s="23">
        <v>180</v>
      </c>
      <c r="E117" s="23">
        <v>319</v>
      </c>
      <c r="F117" s="23">
        <v>14</v>
      </c>
      <c r="G117" s="23">
        <v>95</v>
      </c>
      <c r="H117" s="23">
        <v>1</v>
      </c>
      <c r="I117" s="28">
        <v>24</v>
      </c>
    </row>
    <row r="118" spans="1:9" x14ac:dyDescent="0.25">
      <c r="A118" s="33">
        <v>32</v>
      </c>
      <c r="B118" s="27">
        <v>45149</v>
      </c>
      <c r="C118" s="23">
        <v>561</v>
      </c>
      <c r="D118" s="23">
        <v>183</v>
      </c>
      <c r="E118" s="23">
        <v>264</v>
      </c>
      <c r="F118" s="23">
        <v>11</v>
      </c>
      <c r="G118" s="23">
        <v>83</v>
      </c>
      <c r="H118" s="23">
        <v>1</v>
      </c>
      <c r="I118" s="28">
        <v>19</v>
      </c>
    </row>
    <row r="119" spans="1:9" x14ac:dyDescent="0.25">
      <c r="A119" s="33">
        <v>33</v>
      </c>
      <c r="B119" s="27">
        <v>45156</v>
      </c>
      <c r="C119" s="23">
        <v>660</v>
      </c>
      <c r="D119" s="23">
        <v>183</v>
      </c>
      <c r="E119" s="23">
        <v>343</v>
      </c>
      <c r="F119" s="23">
        <v>12</v>
      </c>
      <c r="G119" s="23">
        <v>106</v>
      </c>
      <c r="H119" s="23">
        <v>1</v>
      </c>
      <c r="I119" s="28">
        <v>15</v>
      </c>
    </row>
    <row r="120" spans="1:9" x14ac:dyDescent="0.25">
      <c r="A120" s="33">
        <v>34</v>
      </c>
      <c r="B120" s="27">
        <v>45163</v>
      </c>
      <c r="C120" s="23">
        <v>686</v>
      </c>
      <c r="D120" s="23">
        <v>185</v>
      </c>
      <c r="E120" s="23">
        <v>358</v>
      </c>
      <c r="F120" s="23">
        <v>15</v>
      </c>
      <c r="G120" s="23">
        <v>93</v>
      </c>
      <c r="H120" s="23">
        <v>3</v>
      </c>
      <c r="I120" s="28">
        <v>32</v>
      </c>
    </row>
    <row r="121" spans="1:9" x14ac:dyDescent="0.25">
      <c r="A121" s="33">
        <v>35</v>
      </c>
      <c r="B121" s="27">
        <v>45170</v>
      </c>
      <c r="C121" s="23">
        <v>544</v>
      </c>
      <c r="D121" s="23">
        <v>171</v>
      </c>
      <c r="E121" s="23">
        <v>253</v>
      </c>
      <c r="F121" s="23">
        <v>11</v>
      </c>
      <c r="G121" s="23">
        <v>89</v>
      </c>
      <c r="H121" s="23">
        <v>1</v>
      </c>
      <c r="I121" s="28">
        <v>19</v>
      </c>
    </row>
    <row r="122" spans="1:9" x14ac:dyDescent="0.25">
      <c r="A122" s="34"/>
      <c r="B122" s="10"/>
      <c r="C122" s="22"/>
      <c r="D122" s="22"/>
      <c r="E122" s="22"/>
      <c r="F122" s="22"/>
      <c r="G122" s="22"/>
      <c r="H122" s="22"/>
      <c r="I122" s="22"/>
    </row>
    <row r="123" spans="1:9" x14ac:dyDescent="0.25">
      <c r="A123" s="33"/>
    </row>
    <row r="124" spans="1:9" x14ac:dyDescent="0.25">
      <c r="A124" s="33"/>
    </row>
    <row r="125" spans="1:9" x14ac:dyDescent="0.25">
      <c r="A125" s="33"/>
    </row>
    <row r="126" spans="1:9" x14ac:dyDescent="0.25">
      <c r="A126" s="33"/>
    </row>
    <row r="127" spans="1:9" x14ac:dyDescent="0.25">
      <c r="A127" s="33"/>
    </row>
    <row r="128" spans="1:9" x14ac:dyDescent="0.25">
      <c r="A128" s="33"/>
    </row>
    <row r="129" spans="1:1" x14ac:dyDescent="0.25">
      <c r="A129" s="33"/>
    </row>
    <row r="130" spans="1:1" x14ac:dyDescent="0.25">
      <c r="A130" s="33"/>
    </row>
    <row r="131" spans="1:1" x14ac:dyDescent="0.25">
      <c r="A131" s="33"/>
    </row>
    <row r="132" spans="1:1" x14ac:dyDescent="0.25">
      <c r="A132" s="33"/>
    </row>
    <row r="133" spans="1:1" x14ac:dyDescent="0.25">
      <c r="A133" s="33"/>
    </row>
    <row r="134" spans="1:1" x14ac:dyDescent="0.25">
      <c r="A134" s="33"/>
    </row>
    <row r="135" spans="1:1" x14ac:dyDescent="0.25">
      <c r="A135" s="33"/>
    </row>
    <row r="136" spans="1:1" x14ac:dyDescent="0.25">
      <c r="A136" s="33"/>
    </row>
    <row r="137" spans="1:1" x14ac:dyDescent="0.25">
      <c r="A137" s="33"/>
    </row>
    <row r="138" spans="1:1" x14ac:dyDescent="0.25">
      <c r="A138" s="33"/>
    </row>
    <row r="139" spans="1:1" x14ac:dyDescent="0.25">
      <c r="A139" s="33"/>
    </row>
    <row r="140" spans="1:1" x14ac:dyDescent="0.25">
      <c r="A140" s="33"/>
    </row>
    <row r="141" spans="1:1" x14ac:dyDescent="0.25">
      <c r="A141" s="33"/>
    </row>
    <row r="142" spans="1:1" x14ac:dyDescent="0.25">
      <c r="A142" s="33"/>
    </row>
    <row r="143" spans="1:1" x14ac:dyDescent="0.25">
      <c r="A143" s="33"/>
    </row>
    <row r="144" spans="1:1" x14ac:dyDescent="0.25">
      <c r="A144" s="33"/>
    </row>
    <row r="145" spans="1:1" x14ac:dyDescent="0.25">
      <c r="A145" s="33"/>
    </row>
    <row r="146" spans="1:1" x14ac:dyDescent="0.25">
      <c r="A146" s="33"/>
    </row>
    <row r="147" spans="1:1" x14ac:dyDescent="0.25">
      <c r="A147" s="33"/>
    </row>
    <row r="148" spans="1:1" x14ac:dyDescent="0.25">
      <c r="A148" s="33"/>
    </row>
    <row r="149" spans="1:1" x14ac:dyDescent="0.25">
      <c r="A149" s="33"/>
    </row>
    <row r="150" spans="1:1" x14ac:dyDescent="0.25">
      <c r="A150" s="33"/>
    </row>
    <row r="151" spans="1:1" x14ac:dyDescent="0.25">
      <c r="A151" s="33"/>
    </row>
  </sheetData>
  <sheetProtection sheet="1" formatCells="0" formatColumns="0"/>
  <pageMargins left="0.7" right="0.7" top="0.75" bottom="0.75" header="0.3" footer="0.3"/>
  <pageSetup paperSize="9" orientation="portrait" horizontalDpi="300" verticalDpi="300"/>
  <tableParts count="3">
    <tablePart r:id="rId1"/>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51"/>
  <sheetViews>
    <sheetView showGridLines="0" workbookViewId="0"/>
  </sheetViews>
  <sheetFormatPr defaultColWidth="10.90625" defaultRowHeight="15" x14ac:dyDescent="0.25"/>
  <cols>
    <col min="1" max="1" width="14.1796875" customWidth="1"/>
    <col min="2" max="23" width="13.1796875" customWidth="1"/>
  </cols>
  <sheetData>
    <row r="1" spans="1:9" ht="17.399999999999999" x14ac:dyDescent="0.3">
      <c r="A1" s="1" t="s">
        <v>253</v>
      </c>
    </row>
    <row r="2" spans="1:9" ht="17.399999999999999" x14ac:dyDescent="0.3">
      <c r="A2" s="1" t="s">
        <v>254</v>
      </c>
    </row>
    <row r="3" spans="1:9" x14ac:dyDescent="0.25">
      <c r="A3" t="s">
        <v>129</v>
      </c>
    </row>
    <row r="4" spans="1:9" x14ac:dyDescent="0.25">
      <c r="A4" t="s">
        <v>114</v>
      </c>
    </row>
    <row r="5" spans="1:9" x14ac:dyDescent="0.25">
      <c r="A5" t="s">
        <v>115</v>
      </c>
    </row>
    <row r="6" spans="1:9" ht="15.6" x14ac:dyDescent="0.3">
      <c r="A6" s="3" t="s">
        <v>255</v>
      </c>
    </row>
    <row r="7" spans="1:9" ht="46.8" x14ac:dyDescent="0.25">
      <c r="A7" s="12" t="s">
        <v>116</v>
      </c>
      <c r="B7" s="29" t="s">
        <v>131</v>
      </c>
      <c r="C7" s="21" t="s">
        <v>175</v>
      </c>
      <c r="D7" s="21" t="s">
        <v>244</v>
      </c>
      <c r="E7" s="21" t="s">
        <v>245</v>
      </c>
      <c r="F7" s="21" t="s">
        <v>246</v>
      </c>
      <c r="G7" s="21" t="s">
        <v>247</v>
      </c>
      <c r="H7" s="21" t="s">
        <v>248</v>
      </c>
      <c r="I7" s="24" t="s">
        <v>249</v>
      </c>
    </row>
    <row r="8" spans="1:9" ht="30" x14ac:dyDescent="0.25">
      <c r="A8" s="10" t="s">
        <v>250</v>
      </c>
      <c r="B8" s="25">
        <v>45170</v>
      </c>
      <c r="C8" s="22">
        <v>207058</v>
      </c>
      <c r="D8" s="22">
        <v>13494</v>
      </c>
      <c r="E8" s="22">
        <v>147210</v>
      </c>
      <c r="F8" s="22">
        <v>3461</v>
      </c>
      <c r="G8" s="22">
        <v>41320</v>
      </c>
      <c r="H8" s="22">
        <v>690</v>
      </c>
      <c r="I8" s="26">
        <v>883</v>
      </c>
    </row>
    <row r="9" spans="1:9" x14ac:dyDescent="0.25">
      <c r="A9" s="33">
        <v>1</v>
      </c>
      <c r="B9" s="27">
        <v>44932</v>
      </c>
      <c r="C9" s="23">
        <v>739</v>
      </c>
      <c r="D9" s="23">
        <v>30</v>
      </c>
      <c r="E9" s="23">
        <v>564</v>
      </c>
      <c r="F9" s="23">
        <v>13</v>
      </c>
      <c r="G9" s="23">
        <v>129</v>
      </c>
      <c r="H9" s="23">
        <v>2</v>
      </c>
      <c r="I9" s="28">
        <v>1</v>
      </c>
    </row>
    <row r="10" spans="1:9" x14ac:dyDescent="0.25">
      <c r="A10" s="33">
        <v>2</v>
      </c>
      <c r="B10" s="27">
        <v>44939</v>
      </c>
      <c r="C10" s="23">
        <v>922</v>
      </c>
      <c r="D10" s="23">
        <v>55</v>
      </c>
      <c r="E10" s="23">
        <v>679</v>
      </c>
      <c r="F10" s="23">
        <v>25</v>
      </c>
      <c r="G10" s="23">
        <v>159</v>
      </c>
      <c r="H10" s="23">
        <v>3</v>
      </c>
      <c r="I10" s="28">
        <v>1</v>
      </c>
    </row>
    <row r="11" spans="1:9" x14ac:dyDescent="0.25">
      <c r="A11" s="33">
        <v>3</v>
      </c>
      <c r="B11" s="27">
        <v>44946</v>
      </c>
      <c r="C11" s="23">
        <v>781</v>
      </c>
      <c r="D11" s="23">
        <v>53</v>
      </c>
      <c r="E11" s="23">
        <v>560</v>
      </c>
      <c r="F11" s="23">
        <v>16</v>
      </c>
      <c r="G11" s="23">
        <v>150</v>
      </c>
      <c r="H11" s="23">
        <v>2</v>
      </c>
      <c r="I11" s="28">
        <v>0</v>
      </c>
    </row>
    <row r="12" spans="1:9" x14ac:dyDescent="0.25">
      <c r="A12" s="33">
        <v>4</v>
      </c>
      <c r="B12" s="27">
        <v>44953</v>
      </c>
      <c r="C12" s="23">
        <v>579</v>
      </c>
      <c r="D12" s="23">
        <v>30</v>
      </c>
      <c r="E12" s="23">
        <v>458</v>
      </c>
      <c r="F12" s="23">
        <v>17</v>
      </c>
      <c r="G12" s="23">
        <v>70</v>
      </c>
      <c r="H12" s="23">
        <v>3</v>
      </c>
      <c r="I12" s="28">
        <v>1</v>
      </c>
    </row>
    <row r="13" spans="1:9" x14ac:dyDescent="0.25">
      <c r="A13" s="33">
        <v>5</v>
      </c>
      <c r="B13" s="27">
        <v>44960</v>
      </c>
      <c r="C13" s="23">
        <v>499</v>
      </c>
      <c r="D13" s="23">
        <v>32</v>
      </c>
      <c r="E13" s="23">
        <v>368</v>
      </c>
      <c r="F13" s="23">
        <v>9</v>
      </c>
      <c r="G13" s="23">
        <v>86</v>
      </c>
      <c r="H13" s="23">
        <v>3</v>
      </c>
      <c r="I13" s="28">
        <v>1</v>
      </c>
    </row>
    <row r="14" spans="1:9" x14ac:dyDescent="0.25">
      <c r="A14" s="33">
        <v>6</v>
      </c>
      <c r="B14" s="27">
        <v>44967</v>
      </c>
      <c r="C14" s="23">
        <v>446</v>
      </c>
      <c r="D14" s="23">
        <v>31</v>
      </c>
      <c r="E14" s="23">
        <v>329</v>
      </c>
      <c r="F14" s="23">
        <v>11</v>
      </c>
      <c r="G14" s="23">
        <v>70</v>
      </c>
      <c r="H14" s="23">
        <v>1</v>
      </c>
      <c r="I14" s="28">
        <v>4</v>
      </c>
    </row>
    <row r="15" spans="1:9" x14ac:dyDescent="0.25">
      <c r="A15" s="33">
        <v>7</v>
      </c>
      <c r="B15" s="27">
        <v>44974</v>
      </c>
      <c r="C15" s="23">
        <v>416</v>
      </c>
      <c r="D15" s="23">
        <v>31</v>
      </c>
      <c r="E15" s="23">
        <v>309</v>
      </c>
      <c r="F15" s="23">
        <v>17</v>
      </c>
      <c r="G15" s="23">
        <v>59</v>
      </c>
      <c r="H15" s="23">
        <v>0</v>
      </c>
      <c r="I15" s="28">
        <v>0</v>
      </c>
    </row>
    <row r="16" spans="1:9" x14ac:dyDescent="0.25">
      <c r="A16" s="33">
        <v>8</v>
      </c>
      <c r="B16" s="27">
        <v>44981</v>
      </c>
      <c r="C16" s="23">
        <v>420</v>
      </c>
      <c r="D16" s="23">
        <v>24</v>
      </c>
      <c r="E16" s="23">
        <v>324</v>
      </c>
      <c r="F16" s="23">
        <v>10</v>
      </c>
      <c r="G16" s="23">
        <v>60</v>
      </c>
      <c r="H16" s="23">
        <v>2</v>
      </c>
      <c r="I16" s="28">
        <v>0</v>
      </c>
    </row>
    <row r="17" spans="1:9" x14ac:dyDescent="0.25">
      <c r="A17" s="33">
        <v>9</v>
      </c>
      <c r="B17" s="27">
        <v>44988</v>
      </c>
      <c r="C17" s="23">
        <v>513</v>
      </c>
      <c r="D17" s="23">
        <v>27</v>
      </c>
      <c r="E17" s="23">
        <v>403</v>
      </c>
      <c r="F17" s="23">
        <v>15</v>
      </c>
      <c r="G17" s="23">
        <v>67</v>
      </c>
      <c r="H17" s="23">
        <v>1</v>
      </c>
      <c r="I17" s="28">
        <v>0</v>
      </c>
    </row>
    <row r="18" spans="1:9" x14ac:dyDescent="0.25">
      <c r="A18" s="33">
        <v>10</v>
      </c>
      <c r="B18" s="27">
        <v>44995</v>
      </c>
      <c r="C18" s="23">
        <v>533</v>
      </c>
      <c r="D18" s="23">
        <v>23</v>
      </c>
      <c r="E18" s="23">
        <v>400</v>
      </c>
      <c r="F18" s="23">
        <v>20</v>
      </c>
      <c r="G18" s="23">
        <v>89</v>
      </c>
      <c r="H18" s="23">
        <v>1</v>
      </c>
      <c r="I18" s="28">
        <v>0</v>
      </c>
    </row>
    <row r="19" spans="1:9" x14ac:dyDescent="0.25">
      <c r="A19" s="33">
        <v>11</v>
      </c>
      <c r="B19" s="27">
        <v>45002</v>
      </c>
      <c r="C19" s="23">
        <v>559</v>
      </c>
      <c r="D19" s="23">
        <v>32</v>
      </c>
      <c r="E19" s="23">
        <v>421</v>
      </c>
      <c r="F19" s="23">
        <v>13</v>
      </c>
      <c r="G19" s="23">
        <v>90</v>
      </c>
      <c r="H19" s="23">
        <v>1</v>
      </c>
      <c r="I19" s="28">
        <v>2</v>
      </c>
    </row>
    <row r="20" spans="1:9" x14ac:dyDescent="0.25">
      <c r="A20" s="33">
        <v>12</v>
      </c>
      <c r="B20" s="27">
        <v>45009</v>
      </c>
      <c r="C20" s="23">
        <v>624</v>
      </c>
      <c r="D20" s="23">
        <v>33</v>
      </c>
      <c r="E20" s="23">
        <v>458</v>
      </c>
      <c r="F20" s="23">
        <v>15</v>
      </c>
      <c r="G20" s="23">
        <v>114</v>
      </c>
      <c r="H20" s="23">
        <v>3</v>
      </c>
      <c r="I20" s="28">
        <v>1</v>
      </c>
    </row>
    <row r="21" spans="1:9" x14ac:dyDescent="0.25">
      <c r="A21" s="33">
        <v>13</v>
      </c>
      <c r="B21" s="27">
        <v>45016</v>
      </c>
      <c r="C21" s="23">
        <v>634</v>
      </c>
      <c r="D21" s="23">
        <v>33</v>
      </c>
      <c r="E21" s="23">
        <v>488</v>
      </c>
      <c r="F21" s="23">
        <v>23</v>
      </c>
      <c r="G21" s="23">
        <v>88</v>
      </c>
      <c r="H21" s="23">
        <v>1</v>
      </c>
      <c r="I21" s="28">
        <v>1</v>
      </c>
    </row>
    <row r="22" spans="1:9" x14ac:dyDescent="0.25">
      <c r="A22" s="33">
        <v>14</v>
      </c>
      <c r="B22" s="27">
        <v>45023</v>
      </c>
      <c r="C22" s="23">
        <v>513</v>
      </c>
      <c r="D22" s="23">
        <v>32</v>
      </c>
      <c r="E22" s="23">
        <v>392</v>
      </c>
      <c r="F22" s="23">
        <v>6</v>
      </c>
      <c r="G22" s="23">
        <v>80</v>
      </c>
      <c r="H22" s="23">
        <v>2</v>
      </c>
      <c r="I22" s="28">
        <v>1</v>
      </c>
    </row>
    <row r="23" spans="1:9" x14ac:dyDescent="0.25">
      <c r="A23" s="33">
        <v>15</v>
      </c>
      <c r="B23" s="27">
        <v>45030</v>
      </c>
      <c r="C23" s="23">
        <v>465</v>
      </c>
      <c r="D23" s="23">
        <v>36</v>
      </c>
      <c r="E23" s="23">
        <v>350</v>
      </c>
      <c r="F23" s="23">
        <v>17</v>
      </c>
      <c r="G23" s="23">
        <v>58</v>
      </c>
      <c r="H23" s="23">
        <v>3</v>
      </c>
      <c r="I23" s="28">
        <v>1</v>
      </c>
    </row>
    <row r="24" spans="1:9" x14ac:dyDescent="0.25">
      <c r="A24" s="33">
        <v>16</v>
      </c>
      <c r="B24" s="27">
        <v>45037</v>
      </c>
      <c r="C24" s="23">
        <v>538</v>
      </c>
      <c r="D24" s="23">
        <v>34</v>
      </c>
      <c r="E24" s="23">
        <v>423</v>
      </c>
      <c r="F24" s="23">
        <v>15</v>
      </c>
      <c r="G24" s="23">
        <v>63</v>
      </c>
      <c r="H24" s="23">
        <v>0</v>
      </c>
      <c r="I24" s="28">
        <v>3</v>
      </c>
    </row>
    <row r="25" spans="1:9" x14ac:dyDescent="0.25">
      <c r="A25" s="33">
        <v>17</v>
      </c>
      <c r="B25" s="27">
        <v>45044</v>
      </c>
      <c r="C25" s="23">
        <v>459</v>
      </c>
      <c r="D25" s="23">
        <v>30</v>
      </c>
      <c r="E25" s="23">
        <v>349</v>
      </c>
      <c r="F25" s="23">
        <v>18</v>
      </c>
      <c r="G25" s="23">
        <v>56</v>
      </c>
      <c r="H25" s="23">
        <v>3</v>
      </c>
      <c r="I25" s="28">
        <v>3</v>
      </c>
    </row>
    <row r="26" spans="1:9" x14ac:dyDescent="0.25">
      <c r="A26" s="33">
        <v>18</v>
      </c>
      <c r="B26" s="27">
        <v>45051</v>
      </c>
      <c r="C26" s="23">
        <v>310</v>
      </c>
      <c r="D26" s="23">
        <v>15</v>
      </c>
      <c r="E26" s="23">
        <v>253</v>
      </c>
      <c r="F26" s="23">
        <v>7</v>
      </c>
      <c r="G26" s="23">
        <v>34</v>
      </c>
      <c r="H26" s="23">
        <v>0</v>
      </c>
      <c r="I26" s="28">
        <v>1</v>
      </c>
    </row>
    <row r="27" spans="1:9" x14ac:dyDescent="0.25">
      <c r="A27" s="33">
        <v>19</v>
      </c>
      <c r="B27" s="27">
        <v>45058</v>
      </c>
      <c r="C27" s="23">
        <v>309</v>
      </c>
      <c r="D27" s="23">
        <v>23</v>
      </c>
      <c r="E27" s="23">
        <v>250</v>
      </c>
      <c r="F27" s="23">
        <v>3</v>
      </c>
      <c r="G27" s="23">
        <v>33</v>
      </c>
      <c r="H27" s="23">
        <v>0</v>
      </c>
      <c r="I27" s="28">
        <v>0</v>
      </c>
    </row>
    <row r="28" spans="1:9" x14ac:dyDescent="0.25">
      <c r="A28" s="33">
        <v>20</v>
      </c>
      <c r="B28" s="27">
        <v>45065</v>
      </c>
      <c r="C28" s="23">
        <v>322</v>
      </c>
      <c r="D28" s="23">
        <v>33</v>
      </c>
      <c r="E28" s="23">
        <v>236</v>
      </c>
      <c r="F28" s="23">
        <v>11</v>
      </c>
      <c r="G28" s="23">
        <v>39</v>
      </c>
      <c r="H28" s="23">
        <v>1</v>
      </c>
      <c r="I28" s="28">
        <v>2</v>
      </c>
    </row>
    <row r="29" spans="1:9" x14ac:dyDescent="0.25">
      <c r="A29" s="33">
        <v>21</v>
      </c>
      <c r="B29" s="27">
        <v>45072</v>
      </c>
      <c r="C29" s="23">
        <v>262</v>
      </c>
      <c r="D29" s="23">
        <v>18</v>
      </c>
      <c r="E29" s="23">
        <v>213</v>
      </c>
      <c r="F29" s="23">
        <v>4</v>
      </c>
      <c r="G29" s="23">
        <v>26</v>
      </c>
      <c r="H29" s="23">
        <v>1</v>
      </c>
      <c r="I29" s="28">
        <v>0</v>
      </c>
    </row>
    <row r="30" spans="1:9" x14ac:dyDescent="0.25">
      <c r="A30" s="33">
        <v>22</v>
      </c>
      <c r="B30" s="27">
        <v>45079</v>
      </c>
      <c r="C30" s="23">
        <v>189</v>
      </c>
      <c r="D30" s="23">
        <v>14</v>
      </c>
      <c r="E30" s="23">
        <v>149</v>
      </c>
      <c r="F30" s="23">
        <v>7</v>
      </c>
      <c r="G30" s="23">
        <v>17</v>
      </c>
      <c r="H30" s="23">
        <v>1</v>
      </c>
      <c r="I30" s="28">
        <v>1</v>
      </c>
    </row>
    <row r="31" spans="1:9" x14ac:dyDescent="0.25">
      <c r="A31" s="33">
        <v>23</v>
      </c>
      <c r="B31" s="27">
        <v>45086</v>
      </c>
      <c r="C31" s="23">
        <v>211</v>
      </c>
      <c r="D31" s="23">
        <v>12</v>
      </c>
      <c r="E31" s="23">
        <v>171</v>
      </c>
      <c r="F31" s="23">
        <v>7</v>
      </c>
      <c r="G31" s="23">
        <v>20</v>
      </c>
      <c r="H31" s="23">
        <v>1</v>
      </c>
      <c r="I31" s="28">
        <v>0</v>
      </c>
    </row>
    <row r="32" spans="1:9" x14ac:dyDescent="0.25">
      <c r="A32" s="33">
        <v>24</v>
      </c>
      <c r="B32" s="27">
        <v>45093</v>
      </c>
      <c r="C32" s="23">
        <v>156</v>
      </c>
      <c r="D32" s="23">
        <v>10</v>
      </c>
      <c r="E32" s="23">
        <v>119</v>
      </c>
      <c r="F32" s="23">
        <v>4</v>
      </c>
      <c r="G32" s="23">
        <v>21</v>
      </c>
      <c r="H32" s="23">
        <v>1</v>
      </c>
      <c r="I32" s="28">
        <v>1</v>
      </c>
    </row>
    <row r="33" spans="1:9" x14ac:dyDescent="0.25">
      <c r="A33" s="33">
        <v>25</v>
      </c>
      <c r="B33" s="27">
        <v>45100</v>
      </c>
      <c r="C33" s="23">
        <v>154</v>
      </c>
      <c r="D33" s="23">
        <v>14</v>
      </c>
      <c r="E33" s="23">
        <v>123</v>
      </c>
      <c r="F33" s="23">
        <v>3</v>
      </c>
      <c r="G33" s="23">
        <v>13</v>
      </c>
      <c r="H33" s="23">
        <v>0</v>
      </c>
      <c r="I33" s="28">
        <v>1</v>
      </c>
    </row>
    <row r="34" spans="1:9" x14ac:dyDescent="0.25">
      <c r="A34" s="33">
        <v>26</v>
      </c>
      <c r="B34" s="27">
        <v>45107</v>
      </c>
      <c r="C34" s="23">
        <v>129</v>
      </c>
      <c r="D34" s="23">
        <v>17</v>
      </c>
      <c r="E34" s="23">
        <v>94</v>
      </c>
      <c r="F34" s="23">
        <v>2</v>
      </c>
      <c r="G34" s="23">
        <v>15</v>
      </c>
      <c r="H34" s="23">
        <v>0</v>
      </c>
      <c r="I34" s="28">
        <v>1</v>
      </c>
    </row>
    <row r="35" spans="1:9" x14ac:dyDescent="0.25">
      <c r="A35" s="33">
        <v>27</v>
      </c>
      <c r="B35" s="27">
        <v>45114</v>
      </c>
      <c r="C35" s="23">
        <v>95</v>
      </c>
      <c r="D35" s="23">
        <v>11</v>
      </c>
      <c r="E35" s="23">
        <v>66</v>
      </c>
      <c r="F35" s="23">
        <v>3</v>
      </c>
      <c r="G35" s="23">
        <v>15</v>
      </c>
      <c r="H35" s="23">
        <v>0</v>
      </c>
      <c r="I35" s="28">
        <v>0</v>
      </c>
    </row>
    <row r="36" spans="1:9" x14ac:dyDescent="0.25">
      <c r="A36" s="33">
        <v>28</v>
      </c>
      <c r="B36" s="27">
        <v>45121</v>
      </c>
      <c r="C36" s="23">
        <v>77</v>
      </c>
      <c r="D36" s="23">
        <v>6</v>
      </c>
      <c r="E36" s="23">
        <v>66</v>
      </c>
      <c r="F36" s="23">
        <v>2</v>
      </c>
      <c r="G36" s="23">
        <v>2</v>
      </c>
      <c r="H36" s="23">
        <v>0</v>
      </c>
      <c r="I36" s="28">
        <v>1</v>
      </c>
    </row>
    <row r="37" spans="1:9" x14ac:dyDescent="0.25">
      <c r="A37" s="33">
        <v>29</v>
      </c>
      <c r="B37" s="27">
        <v>45128</v>
      </c>
      <c r="C37" s="23">
        <v>70</v>
      </c>
      <c r="D37" s="23">
        <v>4</v>
      </c>
      <c r="E37" s="23">
        <v>55</v>
      </c>
      <c r="F37" s="23">
        <v>3</v>
      </c>
      <c r="G37" s="23">
        <v>7</v>
      </c>
      <c r="H37" s="23">
        <v>1</v>
      </c>
      <c r="I37" s="28">
        <v>0</v>
      </c>
    </row>
    <row r="38" spans="1:9" x14ac:dyDescent="0.25">
      <c r="A38" s="33">
        <v>30</v>
      </c>
      <c r="B38" s="27">
        <v>45135</v>
      </c>
      <c r="C38" s="23">
        <v>63</v>
      </c>
      <c r="D38" s="23">
        <v>3</v>
      </c>
      <c r="E38" s="23">
        <v>51</v>
      </c>
      <c r="F38" s="23">
        <v>3</v>
      </c>
      <c r="G38" s="23">
        <v>5</v>
      </c>
      <c r="H38" s="23">
        <v>0</v>
      </c>
      <c r="I38" s="28">
        <v>1</v>
      </c>
    </row>
    <row r="39" spans="1:9" x14ac:dyDescent="0.25">
      <c r="A39" s="33">
        <v>31</v>
      </c>
      <c r="B39" s="27">
        <v>45142</v>
      </c>
      <c r="C39" s="23">
        <v>68</v>
      </c>
      <c r="D39" s="23">
        <v>5</v>
      </c>
      <c r="E39" s="23">
        <v>53</v>
      </c>
      <c r="F39" s="23">
        <v>3</v>
      </c>
      <c r="G39" s="23">
        <v>5</v>
      </c>
      <c r="H39" s="23">
        <v>0</v>
      </c>
      <c r="I39" s="28">
        <v>2</v>
      </c>
    </row>
    <row r="40" spans="1:9" x14ac:dyDescent="0.25">
      <c r="A40" s="33">
        <v>32</v>
      </c>
      <c r="B40" s="27">
        <v>45149</v>
      </c>
      <c r="C40" s="23">
        <v>108</v>
      </c>
      <c r="D40" s="23">
        <v>9</v>
      </c>
      <c r="E40" s="23">
        <v>90</v>
      </c>
      <c r="F40" s="23">
        <v>3</v>
      </c>
      <c r="G40" s="23">
        <v>6</v>
      </c>
      <c r="H40" s="23">
        <v>0</v>
      </c>
      <c r="I40" s="28">
        <v>0</v>
      </c>
    </row>
    <row r="41" spans="1:9" x14ac:dyDescent="0.25">
      <c r="A41" s="33">
        <v>33</v>
      </c>
      <c r="B41" s="27">
        <v>45156</v>
      </c>
      <c r="C41" s="23">
        <v>125</v>
      </c>
      <c r="D41" s="23">
        <v>7</v>
      </c>
      <c r="E41" s="23">
        <v>101</v>
      </c>
      <c r="F41" s="23">
        <v>4</v>
      </c>
      <c r="G41" s="23">
        <v>11</v>
      </c>
      <c r="H41" s="23">
        <v>1</v>
      </c>
      <c r="I41" s="28">
        <v>1</v>
      </c>
    </row>
    <row r="42" spans="1:9" x14ac:dyDescent="0.25">
      <c r="A42" s="33">
        <v>34</v>
      </c>
      <c r="B42" s="27">
        <v>45163</v>
      </c>
      <c r="C42" s="23">
        <v>203</v>
      </c>
      <c r="D42" s="23">
        <v>12</v>
      </c>
      <c r="E42" s="23">
        <v>171</v>
      </c>
      <c r="F42" s="23">
        <v>3</v>
      </c>
      <c r="G42" s="23">
        <v>16</v>
      </c>
      <c r="H42" s="23">
        <v>0</v>
      </c>
      <c r="I42" s="28">
        <v>1</v>
      </c>
    </row>
    <row r="43" spans="1:9" x14ac:dyDescent="0.25">
      <c r="A43" s="33">
        <v>35</v>
      </c>
      <c r="B43" s="27">
        <v>45170</v>
      </c>
      <c r="C43" s="23">
        <v>155</v>
      </c>
      <c r="D43" s="23">
        <v>8</v>
      </c>
      <c r="E43" s="23">
        <v>130</v>
      </c>
      <c r="F43" s="23">
        <v>5</v>
      </c>
      <c r="G43" s="23">
        <v>11</v>
      </c>
      <c r="H43" s="23">
        <v>0</v>
      </c>
      <c r="I43" s="28">
        <v>1</v>
      </c>
    </row>
    <row r="44" spans="1:9" x14ac:dyDescent="0.25">
      <c r="A44" s="10"/>
      <c r="B44" s="10"/>
      <c r="C44" s="10"/>
      <c r="D44" s="10"/>
      <c r="E44" s="10"/>
      <c r="F44" s="10"/>
      <c r="G44" s="10"/>
      <c r="H44" s="10"/>
      <c r="I44" s="10"/>
    </row>
    <row r="45" spans="1:9" ht="15.6" x14ac:dyDescent="0.3">
      <c r="A45" s="3" t="s">
        <v>256</v>
      </c>
    </row>
    <row r="46" spans="1:9" ht="46.8" x14ac:dyDescent="0.25">
      <c r="A46" s="12" t="s">
        <v>116</v>
      </c>
      <c r="B46" s="11" t="s">
        <v>131</v>
      </c>
      <c r="C46" s="21" t="s">
        <v>175</v>
      </c>
      <c r="D46" s="21" t="s">
        <v>244</v>
      </c>
      <c r="E46" s="21" t="s">
        <v>245</v>
      </c>
      <c r="F46" s="21" t="s">
        <v>246</v>
      </c>
      <c r="G46" s="21" t="s">
        <v>247</v>
      </c>
      <c r="H46" s="21" t="s">
        <v>248</v>
      </c>
      <c r="I46" s="24" t="s">
        <v>249</v>
      </c>
    </row>
    <row r="47" spans="1:9" ht="30" x14ac:dyDescent="0.25">
      <c r="A47" s="10" t="s">
        <v>250</v>
      </c>
      <c r="B47" s="25">
        <v>45170</v>
      </c>
      <c r="C47" s="22">
        <v>194642</v>
      </c>
      <c r="D47" s="22">
        <v>12768</v>
      </c>
      <c r="E47" s="22">
        <v>137856</v>
      </c>
      <c r="F47" s="22">
        <v>3396</v>
      </c>
      <c r="G47" s="22">
        <v>39195</v>
      </c>
      <c r="H47" s="22">
        <v>623</v>
      </c>
      <c r="I47" s="26">
        <v>804</v>
      </c>
    </row>
    <row r="48" spans="1:9" x14ac:dyDescent="0.25">
      <c r="A48" s="33">
        <v>1</v>
      </c>
      <c r="B48" s="27">
        <v>44932</v>
      </c>
      <c r="C48" s="23">
        <v>679</v>
      </c>
      <c r="D48" s="23">
        <v>29</v>
      </c>
      <c r="E48" s="23">
        <v>509</v>
      </c>
      <c r="F48" s="23">
        <v>13</v>
      </c>
      <c r="G48" s="23">
        <v>125</v>
      </c>
      <c r="H48" s="23">
        <v>2</v>
      </c>
      <c r="I48" s="28">
        <v>1</v>
      </c>
    </row>
    <row r="49" spans="1:9" x14ac:dyDescent="0.25">
      <c r="A49" s="33">
        <v>2</v>
      </c>
      <c r="B49" s="27">
        <v>44939</v>
      </c>
      <c r="C49" s="23">
        <v>849</v>
      </c>
      <c r="D49" s="23">
        <v>54</v>
      </c>
      <c r="E49" s="23">
        <v>621</v>
      </c>
      <c r="F49" s="23">
        <v>23</v>
      </c>
      <c r="G49" s="23">
        <v>147</v>
      </c>
      <c r="H49" s="23">
        <v>3</v>
      </c>
      <c r="I49" s="28">
        <v>1</v>
      </c>
    </row>
    <row r="50" spans="1:9" x14ac:dyDescent="0.25">
      <c r="A50" s="33">
        <v>3</v>
      </c>
      <c r="B50" s="27">
        <v>44946</v>
      </c>
      <c r="C50" s="23">
        <v>711</v>
      </c>
      <c r="D50" s="23">
        <v>50</v>
      </c>
      <c r="E50" s="23">
        <v>506</v>
      </c>
      <c r="F50" s="23">
        <v>16</v>
      </c>
      <c r="G50" s="23">
        <v>138</v>
      </c>
      <c r="H50" s="23">
        <v>1</v>
      </c>
      <c r="I50" s="28">
        <v>0</v>
      </c>
    </row>
    <row r="51" spans="1:9" x14ac:dyDescent="0.25">
      <c r="A51" s="33">
        <v>4</v>
      </c>
      <c r="B51" s="27">
        <v>44953</v>
      </c>
      <c r="C51" s="23">
        <v>545</v>
      </c>
      <c r="D51" s="23">
        <v>29</v>
      </c>
      <c r="E51" s="23">
        <v>430</v>
      </c>
      <c r="F51" s="23">
        <v>17</v>
      </c>
      <c r="G51" s="23">
        <v>65</v>
      </c>
      <c r="H51" s="23">
        <v>3</v>
      </c>
      <c r="I51" s="28">
        <v>1</v>
      </c>
    </row>
    <row r="52" spans="1:9" x14ac:dyDescent="0.25">
      <c r="A52" s="33">
        <v>5</v>
      </c>
      <c r="B52" s="27">
        <v>44960</v>
      </c>
      <c r="C52" s="23">
        <v>469</v>
      </c>
      <c r="D52" s="23">
        <v>29</v>
      </c>
      <c r="E52" s="23">
        <v>342</v>
      </c>
      <c r="F52" s="23">
        <v>9</v>
      </c>
      <c r="G52" s="23">
        <v>85</v>
      </c>
      <c r="H52" s="23">
        <v>3</v>
      </c>
      <c r="I52" s="28">
        <v>1</v>
      </c>
    </row>
    <row r="53" spans="1:9" x14ac:dyDescent="0.25">
      <c r="A53" s="33">
        <v>6</v>
      </c>
      <c r="B53" s="27">
        <v>44967</v>
      </c>
      <c r="C53" s="23">
        <v>432</v>
      </c>
      <c r="D53" s="23">
        <v>31</v>
      </c>
      <c r="E53" s="23">
        <v>317</v>
      </c>
      <c r="F53" s="23">
        <v>11</v>
      </c>
      <c r="G53" s="23">
        <v>70</v>
      </c>
      <c r="H53" s="23">
        <v>0</v>
      </c>
      <c r="I53" s="28">
        <v>3</v>
      </c>
    </row>
    <row r="54" spans="1:9" x14ac:dyDescent="0.25">
      <c r="A54" s="33">
        <v>7</v>
      </c>
      <c r="B54" s="27">
        <v>44974</v>
      </c>
      <c r="C54" s="23">
        <v>401</v>
      </c>
      <c r="D54" s="23">
        <v>30</v>
      </c>
      <c r="E54" s="23">
        <v>297</v>
      </c>
      <c r="F54" s="23">
        <v>17</v>
      </c>
      <c r="G54" s="23">
        <v>57</v>
      </c>
      <c r="H54" s="23">
        <v>0</v>
      </c>
      <c r="I54" s="28">
        <v>0</v>
      </c>
    </row>
    <row r="55" spans="1:9" x14ac:dyDescent="0.25">
      <c r="A55" s="33">
        <v>8</v>
      </c>
      <c r="B55" s="27">
        <v>44981</v>
      </c>
      <c r="C55" s="23">
        <v>399</v>
      </c>
      <c r="D55" s="23">
        <v>22</v>
      </c>
      <c r="E55" s="23">
        <v>306</v>
      </c>
      <c r="F55" s="23">
        <v>10</v>
      </c>
      <c r="G55" s="23">
        <v>59</v>
      </c>
      <c r="H55" s="23">
        <v>2</v>
      </c>
      <c r="I55" s="28">
        <v>0</v>
      </c>
    </row>
    <row r="56" spans="1:9" x14ac:dyDescent="0.25">
      <c r="A56" s="33">
        <v>9</v>
      </c>
      <c r="B56" s="27">
        <v>44988</v>
      </c>
      <c r="C56" s="23">
        <v>499</v>
      </c>
      <c r="D56" s="23">
        <v>27</v>
      </c>
      <c r="E56" s="23">
        <v>390</v>
      </c>
      <c r="F56" s="23">
        <v>15</v>
      </c>
      <c r="G56" s="23">
        <v>66</v>
      </c>
      <c r="H56" s="23">
        <v>1</v>
      </c>
      <c r="I56" s="28">
        <v>0</v>
      </c>
    </row>
    <row r="57" spans="1:9" x14ac:dyDescent="0.25">
      <c r="A57" s="33">
        <v>10</v>
      </c>
      <c r="B57" s="27">
        <v>44995</v>
      </c>
      <c r="C57" s="23">
        <v>521</v>
      </c>
      <c r="D57" s="23">
        <v>23</v>
      </c>
      <c r="E57" s="23">
        <v>389</v>
      </c>
      <c r="F57" s="23">
        <v>20</v>
      </c>
      <c r="G57" s="23">
        <v>88</v>
      </c>
      <c r="H57" s="23">
        <v>1</v>
      </c>
      <c r="I57" s="28">
        <v>0</v>
      </c>
    </row>
    <row r="58" spans="1:9" x14ac:dyDescent="0.25">
      <c r="A58" s="33">
        <v>11</v>
      </c>
      <c r="B58" s="27">
        <v>45002</v>
      </c>
      <c r="C58" s="23">
        <v>512</v>
      </c>
      <c r="D58" s="23">
        <v>30</v>
      </c>
      <c r="E58" s="23">
        <v>382</v>
      </c>
      <c r="F58" s="23">
        <v>13</v>
      </c>
      <c r="G58" s="23">
        <v>84</v>
      </c>
      <c r="H58" s="23">
        <v>1</v>
      </c>
      <c r="I58" s="28">
        <v>2</v>
      </c>
    </row>
    <row r="59" spans="1:9" x14ac:dyDescent="0.25">
      <c r="A59" s="33">
        <v>12</v>
      </c>
      <c r="B59" s="27">
        <v>45009</v>
      </c>
      <c r="C59" s="23">
        <v>584</v>
      </c>
      <c r="D59" s="23">
        <v>32</v>
      </c>
      <c r="E59" s="23">
        <v>422</v>
      </c>
      <c r="F59" s="23">
        <v>15</v>
      </c>
      <c r="G59" s="23">
        <v>111</v>
      </c>
      <c r="H59" s="23">
        <v>3</v>
      </c>
      <c r="I59" s="28">
        <v>1</v>
      </c>
    </row>
    <row r="60" spans="1:9" x14ac:dyDescent="0.25">
      <c r="A60" s="33">
        <v>13</v>
      </c>
      <c r="B60" s="27">
        <v>45016</v>
      </c>
      <c r="C60" s="23">
        <v>599</v>
      </c>
      <c r="D60" s="23">
        <v>31</v>
      </c>
      <c r="E60" s="23">
        <v>458</v>
      </c>
      <c r="F60" s="23">
        <v>23</v>
      </c>
      <c r="G60" s="23">
        <v>85</v>
      </c>
      <c r="H60" s="23">
        <v>1</v>
      </c>
      <c r="I60" s="28">
        <v>1</v>
      </c>
    </row>
    <row r="61" spans="1:9" x14ac:dyDescent="0.25">
      <c r="A61" s="33">
        <v>14</v>
      </c>
      <c r="B61" s="27">
        <v>45023</v>
      </c>
      <c r="C61" s="23">
        <v>484</v>
      </c>
      <c r="D61" s="23">
        <v>32</v>
      </c>
      <c r="E61" s="23">
        <v>366</v>
      </c>
      <c r="F61" s="23">
        <v>6</v>
      </c>
      <c r="G61" s="23">
        <v>77</v>
      </c>
      <c r="H61" s="23">
        <v>2</v>
      </c>
      <c r="I61" s="28">
        <v>1</v>
      </c>
    </row>
    <row r="62" spans="1:9" x14ac:dyDescent="0.25">
      <c r="A62" s="33">
        <v>15</v>
      </c>
      <c r="B62" s="27">
        <v>45030</v>
      </c>
      <c r="C62" s="23">
        <v>439</v>
      </c>
      <c r="D62" s="23">
        <v>34</v>
      </c>
      <c r="E62" s="23">
        <v>326</v>
      </c>
      <c r="F62" s="23">
        <v>17</v>
      </c>
      <c r="G62" s="23">
        <v>58</v>
      </c>
      <c r="H62" s="23">
        <v>3</v>
      </c>
      <c r="I62" s="28">
        <v>1</v>
      </c>
    </row>
    <row r="63" spans="1:9" x14ac:dyDescent="0.25">
      <c r="A63" s="33">
        <v>16</v>
      </c>
      <c r="B63" s="27">
        <v>45037</v>
      </c>
      <c r="C63" s="23">
        <v>508</v>
      </c>
      <c r="D63" s="23">
        <v>34</v>
      </c>
      <c r="E63" s="23">
        <v>399</v>
      </c>
      <c r="F63" s="23">
        <v>15</v>
      </c>
      <c r="G63" s="23">
        <v>58</v>
      </c>
      <c r="H63" s="23">
        <v>0</v>
      </c>
      <c r="I63" s="28">
        <v>2</v>
      </c>
    </row>
    <row r="64" spans="1:9" x14ac:dyDescent="0.25">
      <c r="A64" s="33">
        <v>17</v>
      </c>
      <c r="B64" s="27">
        <v>45044</v>
      </c>
      <c r="C64" s="23">
        <v>436</v>
      </c>
      <c r="D64" s="23">
        <v>29</v>
      </c>
      <c r="E64" s="23">
        <v>331</v>
      </c>
      <c r="F64" s="23">
        <v>18</v>
      </c>
      <c r="G64" s="23">
        <v>53</v>
      </c>
      <c r="H64" s="23">
        <v>3</v>
      </c>
      <c r="I64" s="28">
        <v>2</v>
      </c>
    </row>
    <row r="65" spans="1:9" x14ac:dyDescent="0.25">
      <c r="A65" s="33">
        <v>18</v>
      </c>
      <c r="B65" s="27">
        <v>45051</v>
      </c>
      <c r="C65" s="23">
        <v>286</v>
      </c>
      <c r="D65" s="23">
        <v>14</v>
      </c>
      <c r="E65" s="23">
        <v>231</v>
      </c>
      <c r="F65" s="23">
        <v>7</v>
      </c>
      <c r="G65" s="23">
        <v>33</v>
      </c>
      <c r="H65" s="23">
        <v>0</v>
      </c>
      <c r="I65" s="28">
        <v>1</v>
      </c>
    </row>
    <row r="66" spans="1:9" x14ac:dyDescent="0.25">
      <c r="A66" s="33">
        <v>19</v>
      </c>
      <c r="B66" s="27">
        <v>45058</v>
      </c>
      <c r="C66" s="23">
        <v>283</v>
      </c>
      <c r="D66" s="23">
        <v>22</v>
      </c>
      <c r="E66" s="23">
        <v>227</v>
      </c>
      <c r="F66" s="23">
        <v>3</v>
      </c>
      <c r="G66" s="23">
        <v>31</v>
      </c>
      <c r="H66" s="23">
        <v>0</v>
      </c>
      <c r="I66" s="28">
        <v>0</v>
      </c>
    </row>
    <row r="67" spans="1:9" x14ac:dyDescent="0.25">
      <c r="A67" s="33">
        <v>20</v>
      </c>
      <c r="B67" s="27">
        <v>45065</v>
      </c>
      <c r="C67" s="23">
        <v>304</v>
      </c>
      <c r="D67" s="23">
        <v>32</v>
      </c>
      <c r="E67" s="23">
        <v>220</v>
      </c>
      <c r="F67" s="23">
        <v>10</v>
      </c>
      <c r="G67" s="23">
        <v>39</v>
      </c>
      <c r="H67" s="23">
        <v>1</v>
      </c>
      <c r="I67" s="28">
        <v>2</v>
      </c>
    </row>
    <row r="68" spans="1:9" x14ac:dyDescent="0.25">
      <c r="A68" s="33">
        <v>21</v>
      </c>
      <c r="B68" s="27">
        <v>45072</v>
      </c>
      <c r="C68" s="23">
        <v>251</v>
      </c>
      <c r="D68" s="23">
        <v>18</v>
      </c>
      <c r="E68" s="23">
        <v>204</v>
      </c>
      <c r="F68" s="23">
        <v>4</v>
      </c>
      <c r="G68" s="23">
        <v>24</v>
      </c>
      <c r="H68" s="23">
        <v>1</v>
      </c>
      <c r="I68" s="28">
        <v>0</v>
      </c>
    </row>
    <row r="69" spans="1:9" x14ac:dyDescent="0.25">
      <c r="A69" s="33">
        <v>22</v>
      </c>
      <c r="B69" s="27">
        <v>45079</v>
      </c>
      <c r="C69" s="23">
        <v>175</v>
      </c>
      <c r="D69" s="23">
        <v>14</v>
      </c>
      <c r="E69" s="23">
        <v>136</v>
      </c>
      <c r="F69" s="23">
        <v>7</v>
      </c>
      <c r="G69" s="23">
        <v>17</v>
      </c>
      <c r="H69" s="23">
        <v>1</v>
      </c>
      <c r="I69" s="28">
        <v>0</v>
      </c>
    </row>
    <row r="70" spans="1:9" x14ac:dyDescent="0.25">
      <c r="A70" s="33">
        <v>23</v>
      </c>
      <c r="B70" s="27">
        <v>45086</v>
      </c>
      <c r="C70" s="23">
        <v>195</v>
      </c>
      <c r="D70" s="23">
        <v>11</v>
      </c>
      <c r="E70" s="23">
        <v>157</v>
      </c>
      <c r="F70" s="23">
        <v>7</v>
      </c>
      <c r="G70" s="23">
        <v>20</v>
      </c>
      <c r="H70" s="23">
        <v>0</v>
      </c>
      <c r="I70" s="28">
        <v>0</v>
      </c>
    </row>
    <row r="71" spans="1:9" x14ac:dyDescent="0.25">
      <c r="A71" s="33">
        <v>24</v>
      </c>
      <c r="B71" s="27">
        <v>45093</v>
      </c>
      <c r="C71" s="23">
        <v>148</v>
      </c>
      <c r="D71" s="23">
        <v>10</v>
      </c>
      <c r="E71" s="23">
        <v>113</v>
      </c>
      <c r="F71" s="23">
        <v>4</v>
      </c>
      <c r="G71" s="23">
        <v>20</v>
      </c>
      <c r="H71" s="23">
        <v>1</v>
      </c>
      <c r="I71" s="28">
        <v>0</v>
      </c>
    </row>
    <row r="72" spans="1:9" x14ac:dyDescent="0.25">
      <c r="A72" s="33">
        <v>25</v>
      </c>
      <c r="B72" s="27">
        <v>45100</v>
      </c>
      <c r="C72" s="23">
        <v>141</v>
      </c>
      <c r="D72" s="23">
        <v>13</v>
      </c>
      <c r="E72" s="23">
        <v>111</v>
      </c>
      <c r="F72" s="23">
        <v>3</v>
      </c>
      <c r="G72" s="23">
        <v>13</v>
      </c>
      <c r="H72" s="23">
        <v>0</v>
      </c>
      <c r="I72" s="28">
        <v>1</v>
      </c>
    </row>
    <row r="73" spans="1:9" x14ac:dyDescent="0.25">
      <c r="A73" s="33">
        <v>26</v>
      </c>
      <c r="B73" s="27">
        <v>45107</v>
      </c>
      <c r="C73" s="23">
        <v>122</v>
      </c>
      <c r="D73" s="23">
        <v>16</v>
      </c>
      <c r="E73" s="23">
        <v>88</v>
      </c>
      <c r="F73" s="23">
        <v>2</v>
      </c>
      <c r="G73" s="23">
        <v>15</v>
      </c>
      <c r="H73" s="23">
        <v>0</v>
      </c>
      <c r="I73" s="28">
        <v>1</v>
      </c>
    </row>
    <row r="74" spans="1:9" x14ac:dyDescent="0.25">
      <c r="A74" s="33">
        <v>27</v>
      </c>
      <c r="B74" s="27">
        <v>45114</v>
      </c>
      <c r="C74" s="23">
        <v>91</v>
      </c>
      <c r="D74" s="23">
        <v>11</v>
      </c>
      <c r="E74" s="23">
        <v>62</v>
      </c>
      <c r="F74" s="23">
        <v>3</v>
      </c>
      <c r="G74" s="23">
        <v>15</v>
      </c>
      <c r="H74" s="23">
        <v>0</v>
      </c>
      <c r="I74" s="28">
        <v>0</v>
      </c>
    </row>
    <row r="75" spans="1:9" x14ac:dyDescent="0.25">
      <c r="A75" s="33">
        <v>28</v>
      </c>
      <c r="B75" s="27">
        <v>45121</v>
      </c>
      <c r="C75" s="23">
        <v>73</v>
      </c>
      <c r="D75" s="23">
        <v>6</v>
      </c>
      <c r="E75" s="23">
        <v>62</v>
      </c>
      <c r="F75" s="23">
        <v>2</v>
      </c>
      <c r="G75" s="23">
        <v>2</v>
      </c>
      <c r="H75" s="23">
        <v>0</v>
      </c>
      <c r="I75" s="28">
        <v>1</v>
      </c>
    </row>
    <row r="76" spans="1:9" x14ac:dyDescent="0.25">
      <c r="A76" s="33">
        <v>29</v>
      </c>
      <c r="B76" s="27">
        <v>45128</v>
      </c>
      <c r="C76" s="23">
        <v>61</v>
      </c>
      <c r="D76" s="23">
        <v>4</v>
      </c>
      <c r="E76" s="23">
        <v>46</v>
      </c>
      <c r="F76" s="23">
        <v>3</v>
      </c>
      <c r="G76" s="23">
        <v>7</v>
      </c>
      <c r="H76" s="23">
        <v>1</v>
      </c>
      <c r="I76" s="28">
        <v>0</v>
      </c>
    </row>
    <row r="77" spans="1:9" x14ac:dyDescent="0.25">
      <c r="A77" s="33">
        <v>30</v>
      </c>
      <c r="B77" s="27">
        <v>45135</v>
      </c>
      <c r="C77" s="23">
        <v>55</v>
      </c>
      <c r="D77" s="23">
        <v>3</v>
      </c>
      <c r="E77" s="23">
        <v>44</v>
      </c>
      <c r="F77" s="23">
        <v>3</v>
      </c>
      <c r="G77" s="23">
        <v>4</v>
      </c>
      <c r="H77" s="23">
        <v>0</v>
      </c>
      <c r="I77" s="28">
        <v>1</v>
      </c>
    </row>
    <row r="78" spans="1:9" x14ac:dyDescent="0.25">
      <c r="A78" s="33">
        <v>31</v>
      </c>
      <c r="B78" s="27">
        <v>45142</v>
      </c>
      <c r="C78" s="23">
        <v>65</v>
      </c>
      <c r="D78" s="23">
        <v>5</v>
      </c>
      <c r="E78" s="23">
        <v>50</v>
      </c>
      <c r="F78" s="23">
        <v>3</v>
      </c>
      <c r="G78" s="23">
        <v>5</v>
      </c>
      <c r="H78" s="23">
        <v>0</v>
      </c>
      <c r="I78" s="28">
        <v>2</v>
      </c>
    </row>
    <row r="79" spans="1:9" x14ac:dyDescent="0.25">
      <c r="A79" s="33">
        <v>32</v>
      </c>
      <c r="B79" s="27">
        <v>45149</v>
      </c>
      <c r="C79" s="23">
        <v>101</v>
      </c>
      <c r="D79" s="23">
        <v>9</v>
      </c>
      <c r="E79" s="23">
        <v>84</v>
      </c>
      <c r="F79" s="23">
        <v>3</v>
      </c>
      <c r="G79" s="23">
        <v>5</v>
      </c>
      <c r="H79" s="23">
        <v>0</v>
      </c>
      <c r="I79" s="28">
        <v>0</v>
      </c>
    </row>
    <row r="80" spans="1:9" x14ac:dyDescent="0.25">
      <c r="A80" s="33">
        <v>33</v>
      </c>
      <c r="B80" s="27">
        <v>45156</v>
      </c>
      <c r="C80" s="23">
        <v>115</v>
      </c>
      <c r="D80" s="23">
        <v>5</v>
      </c>
      <c r="E80" s="23">
        <v>94</v>
      </c>
      <c r="F80" s="23">
        <v>4</v>
      </c>
      <c r="G80" s="23">
        <v>10</v>
      </c>
      <c r="H80" s="23">
        <v>1</v>
      </c>
      <c r="I80" s="28">
        <v>1</v>
      </c>
    </row>
    <row r="81" spans="1:9" x14ac:dyDescent="0.25">
      <c r="A81" s="33">
        <v>34</v>
      </c>
      <c r="B81" s="27">
        <v>45163</v>
      </c>
      <c r="C81" s="23">
        <v>178</v>
      </c>
      <c r="D81" s="23">
        <v>12</v>
      </c>
      <c r="E81" s="23">
        <v>148</v>
      </c>
      <c r="F81" s="23">
        <v>3</v>
      </c>
      <c r="G81" s="23">
        <v>14</v>
      </c>
      <c r="H81" s="23">
        <v>0</v>
      </c>
      <c r="I81" s="28">
        <v>1</v>
      </c>
    </row>
    <row r="82" spans="1:9" x14ac:dyDescent="0.25">
      <c r="A82" s="33">
        <v>35</v>
      </c>
      <c r="B82" s="27">
        <v>45170</v>
      </c>
      <c r="C82" s="23">
        <v>136</v>
      </c>
      <c r="D82" s="23">
        <v>7</v>
      </c>
      <c r="E82" s="23">
        <v>114</v>
      </c>
      <c r="F82" s="23">
        <v>5</v>
      </c>
      <c r="G82" s="23">
        <v>9</v>
      </c>
      <c r="H82" s="23">
        <v>0</v>
      </c>
      <c r="I82" s="28">
        <v>1</v>
      </c>
    </row>
    <row r="83" spans="1:9" x14ac:dyDescent="0.25">
      <c r="A83" s="10"/>
      <c r="B83" s="10"/>
      <c r="C83" s="10"/>
      <c r="D83" s="10"/>
      <c r="E83" s="10"/>
      <c r="F83" s="10"/>
      <c r="G83" s="10"/>
      <c r="H83" s="10"/>
      <c r="I83" s="10"/>
    </row>
    <row r="84" spans="1:9" ht="15.6" x14ac:dyDescent="0.3">
      <c r="A84" s="3" t="s">
        <v>257</v>
      </c>
    </row>
    <row r="85" spans="1:9" ht="46.8" x14ac:dyDescent="0.25">
      <c r="A85" s="12" t="s">
        <v>116</v>
      </c>
      <c r="B85" s="11" t="s">
        <v>131</v>
      </c>
      <c r="C85" s="35" t="s">
        <v>175</v>
      </c>
      <c r="D85" s="35" t="s">
        <v>244</v>
      </c>
      <c r="E85" s="35" t="s">
        <v>245</v>
      </c>
      <c r="F85" s="35" t="s">
        <v>246</v>
      </c>
      <c r="G85" s="35" t="s">
        <v>247</v>
      </c>
      <c r="H85" s="35" t="s">
        <v>248</v>
      </c>
      <c r="I85" s="36" t="s">
        <v>249</v>
      </c>
    </row>
    <row r="86" spans="1:9" ht="30" x14ac:dyDescent="0.25">
      <c r="A86" s="10" t="s">
        <v>250</v>
      </c>
      <c r="B86" s="25">
        <v>45170</v>
      </c>
      <c r="C86" s="22">
        <v>12067</v>
      </c>
      <c r="D86" s="22">
        <v>726</v>
      </c>
      <c r="E86" s="22">
        <v>9051</v>
      </c>
      <c r="F86" s="22">
        <v>59</v>
      </c>
      <c r="G86" s="22">
        <v>2113</v>
      </c>
      <c r="H86" s="22">
        <v>67</v>
      </c>
      <c r="I86" s="26">
        <v>51</v>
      </c>
    </row>
    <row r="87" spans="1:9" x14ac:dyDescent="0.25">
      <c r="A87" s="33">
        <v>1</v>
      </c>
      <c r="B87" s="27">
        <v>44932</v>
      </c>
      <c r="C87" s="23">
        <v>57</v>
      </c>
      <c r="D87" s="23">
        <v>1</v>
      </c>
      <c r="E87" s="23">
        <v>52</v>
      </c>
      <c r="F87" s="23">
        <v>0</v>
      </c>
      <c r="G87" s="23">
        <v>4</v>
      </c>
      <c r="H87" s="23">
        <v>0</v>
      </c>
      <c r="I87" s="28">
        <v>0</v>
      </c>
    </row>
    <row r="88" spans="1:9" x14ac:dyDescent="0.25">
      <c r="A88" s="33">
        <v>2</v>
      </c>
      <c r="B88" s="27">
        <v>44939</v>
      </c>
      <c r="C88" s="23">
        <v>70</v>
      </c>
      <c r="D88" s="23">
        <v>1</v>
      </c>
      <c r="E88" s="23">
        <v>55</v>
      </c>
      <c r="F88" s="23">
        <v>2</v>
      </c>
      <c r="G88" s="23">
        <v>12</v>
      </c>
      <c r="H88" s="23">
        <v>0</v>
      </c>
      <c r="I88" s="28">
        <v>0</v>
      </c>
    </row>
    <row r="89" spans="1:9" x14ac:dyDescent="0.25">
      <c r="A89" s="33">
        <v>3</v>
      </c>
      <c r="B89" s="27">
        <v>44946</v>
      </c>
      <c r="C89" s="23">
        <v>69</v>
      </c>
      <c r="D89" s="23">
        <v>3</v>
      </c>
      <c r="E89" s="23">
        <v>53</v>
      </c>
      <c r="F89" s="23">
        <v>0</v>
      </c>
      <c r="G89" s="23">
        <v>12</v>
      </c>
      <c r="H89" s="23">
        <v>1</v>
      </c>
      <c r="I89" s="28">
        <v>0</v>
      </c>
    </row>
    <row r="90" spans="1:9" x14ac:dyDescent="0.25">
      <c r="A90" s="33">
        <v>4</v>
      </c>
      <c r="B90" s="27">
        <v>44953</v>
      </c>
      <c r="C90" s="23">
        <v>33</v>
      </c>
      <c r="D90" s="23">
        <v>1</v>
      </c>
      <c r="E90" s="23">
        <v>27</v>
      </c>
      <c r="F90" s="23">
        <v>0</v>
      </c>
      <c r="G90" s="23">
        <v>5</v>
      </c>
      <c r="H90" s="23">
        <v>0</v>
      </c>
      <c r="I90" s="28">
        <v>0</v>
      </c>
    </row>
    <row r="91" spans="1:9" x14ac:dyDescent="0.25">
      <c r="A91" s="33">
        <v>5</v>
      </c>
      <c r="B91" s="27">
        <v>44960</v>
      </c>
      <c r="C91" s="23">
        <v>29</v>
      </c>
      <c r="D91" s="23">
        <v>3</v>
      </c>
      <c r="E91" s="23">
        <v>25</v>
      </c>
      <c r="F91" s="23">
        <v>0</v>
      </c>
      <c r="G91" s="23">
        <v>1</v>
      </c>
      <c r="H91" s="23">
        <v>0</v>
      </c>
      <c r="I91" s="28">
        <v>0</v>
      </c>
    </row>
    <row r="92" spans="1:9" x14ac:dyDescent="0.25">
      <c r="A92" s="33">
        <v>6</v>
      </c>
      <c r="B92" s="27">
        <v>44967</v>
      </c>
      <c r="C92" s="23">
        <v>14</v>
      </c>
      <c r="D92" s="23">
        <v>0</v>
      </c>
      <c r="E92" s="23">
        <v>12</v>
      </c>
      <c r="F92" s="23">
        <v>0</v>
      </c>
      <c r="G92" s="23">
        <v>0</v>
      </c>
      <c r="H92" s="23">
        <v>1</v>
      </c>
      <c r="I92" s="28">
        <v>1</v>
      </c>
    </row>
    <row r="93" spans="1:9" x14ac:dyDescent="0.25">
      <c r="A93" s="33">
        <v>7</v>
      </c>
      <c r="B93" s="27">
        <v>44974</v>
      </c>
      <c r="C93" s="23">
        <v>13</v>
      </c>
      <c r="D93" s="23">
        <v>1</v>
      </c>
      <c r="E93" s="23">
        <v>10</v>
      </c>
      <c r="F93" s="23">
        <v>0</v>
      </c>
      <c r="G93" s="23">
        <v>2</v>
      </c>
      <c r="H93" s="23">
        <v>0</v>
      </c>
      <c r="I93" s="28">
        <v>0</v>
      </c>
    </row>
    <row r="94" spans="1:9" x14ac:dyDescent="0.25">
      <c r="A94" s="33">
        <v>8</v>
      </c>
      <c r="B94" s="27">
        <v>44981</v>
      </c>
      <c r="C94" s="23">
        <v>20</v>
      </c>
      <c r="D94" s="23">
        <v>2</v>
      </c>
      <c r="E94" s="23">
        <v>17</v>
      </c>
      <c r="F94" s="23">
        <v>0</v>
      </c>
      <c r="G94" s="23">
        <v>1</v>
      </c>
      <c r="H94" s="23">
        <v>0</v>
      </c>
      <c r="I94" s="28">
        <v>0</v>
      </c>
    </row>
    <row r="95" spans="1:9" x14ac:dyDescent="0.25">
      <c r="A95" s="33">
        <v>9</v>
      </c>
      <c r="B95" s="27">
        <v>44988</v>
      </c>
      <c r="C95" s="23">
        <v>14</v>
      </c>
      <c r="D95" s="23">
        <v>0</v>
      </c>
      <c r="E95" s="23">
        <v>13</v>
      </c>
      <c r="F95" s="23">
        <v>0</v>
      </c>
      <c r="G95" s="23">
        <v>1</v>
      </c>
      <c r="H95" s="23">
        <v>0</v>
      </c>
      <c r="I95" s="28">
        <v>0</v>
      </c>
    </row>
    <row r="96" spans="1:9" x14ac:dyDescent="0.25">
      <c r="A96" s="33">
        <v>10</v>
      </c>
      <c r="B96" s="27">
        <v>44995</v>
      </c>
      <c r="C96" s="23">
        <v>11</v>
      </c>
      <c r="D96" s="23">
        <v>0</v>
      </c>
      <c r="E96" s="23">
        <v>10</v>
      </c>
      <c r="F96" s="23">
        <v>0</v>
      </c>
      <c r="G96" s="23">
        <v>1</v>
      </c>
      <c r="H96" s="23">
        <v>0</v>
      </c>
      <c r="I96" s="28">
        <v>0</v>
      </c>
    </row>
    <row r="97" spans="1:9" x14ac:dyDescent="0.25">
      <c r="A97" s="33">
        <v>11</v>
      </c>
      <c r="B97" s="27">
        <v>45002</v>
      </c>
      <c r="C97" s="23">
        <v>47</v>
      </c>
      <c r="D97" s="23">
        <v>2</v>
      </c>
      <c r="E97" s="23">
        <v>39</v>
      </c>
      <c r="F97" s="23">
        <v>0</v>
      </c>
      <c r="G97" s="23">
        <v>6</v>
      </c>
      <c r="H97" s="23">
        <v>0</v>
      </c>
      <c r="I97" s="28">
        <v>0</v>
      </c>
    </row>
    <row r="98" spans="1:9" x14ac:dyDescent="0.25">
      <c r="A98" s="33">
        <v>12</v>
      </c>
      <c r="B98" s="27">
        <v>45009</v>
      </c>
      <c r="C98" s="23">
        <v>40</v>
      </c>
      <c r="D98" s="23">
        <v>1</v>
      </c>
      <c r="E98" s="23">
        <v>36</v>
      </c>
      <c r="F98" s="23">
        <v>0</v>
      </c>
      <c r="G98" s="23">
        <v>3</v>
      </c>
      <c r="H98" s="23">
        <v>0</v>
      </c>
      <c r="I98" s="28">
        <v>0</v>
      </c>
    </row>
    <row r="99" spans="1:9" x14ac:dyDescent="0.25">
      <c r="A99" s="33">
        <v>13</v>
      </c>
      <c r="B99" s="27">
        <v>45016</v>
      </c>
      <c r="C99" s="23">
        <v>35</v>
      </c>
      <c r="D99" s="23">
        <v>2</v>
      </c>
      <c r="E99" s="23">
        <v>30</v>
      </c>
      <c r="F99" s="23">
        <v>0</v>
      </c>
      <c r="G99" s="23">
        <v>3</v>
      </c>
      <c r="H99" s="23">
        <v>0</v>
      </c>
      <c r="I99" s="28">
        <v>0</v>
      </c>
    </row>
    <row r="100" spans="1:9" x14ac:dyDescent="0.25">
      <c r="A100" s="33">
        <v>14</v>
      </c>
      <c r="B100" s="27">
        <v>45023</v>
      </c>
      <c r="C100" s="23">
        <v>28</v>
      </c>
      <c r="D100" s="23">
        <v>0</v>
      </c>
      <c r="E100" s="23">
        <v>25</v>
      </c>
      <c r="F100" s="23">
        <v>0</v>
      </c>
      <c r="G100" s="23">
        <v>3</v>
      </c>
      <c r="H100" s="23">
        <v>0</v>
      </c>
      <c r="I100" s="28">
        <v>0</v>
      </c>
    </row>
    <row r="101" spans="1:9" x14ac:dyDescent="0.25">
      <c r="A101" s="33">
        <v>15</v>
      </c>
      <c r="B101" s="27">
        <v>45030</v>
      </c>
      <c r="C101" s="23">
        <v>23</v>
      </c>
      <c r="D101" s="23">
        <v>2</v>
      </c>
      <c r="E101" s="23">
        <v>21</v>
      </c>
      <c r="F101" s="23">
        <v>0</v>
      </c>
      <c r="G101" s="23">
        <v>0</v>
      </c>
      <c r="H101" s="23">
        <v>0</v>
      </c>
      <c r="I101" s="28">
        <v>0</v>
      </c>
    </row>
    <row r="102" spans="1:9" x14ac:dyDescent="0.25">
      <c r="A102" s="33">
        <v>16</v>
      </c>
      <c r="B102" s="27">
        <v>45037</v>
      </c>
      <c r="C102" s="23">
        <v>30</v>
      </c>
      <c r="D102" s="23">
        <v>0</v>
      </c>
      <c r="E102" s="23">
        <v>24</v>
      </c>
      <c r="F102" s="23">
        <v>0</v>
      </c>
      <c r="G102" s="23">
        <v>5</v>
      </c>
      <c r="H102" s="23">
        <v>0</v>
      </c>
      <c r="I102" s="28">
        <v>1</v>
      </c>
    </row>
    <row r="103" spans="1:9" x14ac:dyDescent="0.25">
      <c r="A103" s="33">
        <v>17</v>
      </c>
      <c r="B103" s="27">
        <v>45044</v>
      </c>
      <c r="C103" s="23">
        <v>23</v>
      </c>
      <c r="D103" s="23">
        <v>1</v>
      </c>
      <c r="E103" s="23">
        <v>18</v>
      </c>
      <c r="F103" s="23">
        <v>0</v>
      </c>
      <c r="G103" s="23">
        <v>3</v>
      </c>
      <c r="H103" s="23">
        <v>0</v>
      </c>
      <c r="I103" s="28">
        <v>1</v>
      </c>
    </row>
    <row r="104" spans="1:9" x14ac:dyDescent="0.25">
      <c r="A104" s="33">
        <v>18</v>
      </c>
      <c r="B104" s="27">
        <v>45051</v>
      </c>
      <c r="C104" s="23">
        <v>24</v>
      </c>
      <c r="D104" s="23">
        <v>1</v>
      </c>
      <c r="E104" s="23">
        <v>22</v>
      </c>
      <c r="F104" s="23">
        <v>0</v>
      </c>
      <c r="G104" s="23">
        <v>1</v>
      </c>
      <c r="H104" s="23">
        <v>0</v>
      </c>
      <c r="I104" s="28">
        <v>0</v>
      </c>
    </row>
    <row r="105" spans="1:9" x14ac:dyDescent="0.25">
      <c r="A105" s="33">
        <v>19</v>
      </c>
      <c r="B105" s="27">
        <v>45058</v>
      </c>
      <c r="C105" s="23">
        <v>26</v>
      </c>
      <c r="D105" s="23">
        <v>1</v>
      </c>
      <c r="E105" s="23">
        <v>23</v>
      </c>
      <c r="F105" s="23">
        <v>0</v>
      </c>
      <c r="G105" s="23">
        <v>2</v>
      </c>
      <c r="H105" s="23">
        <v>0</v>
      </c>
      <c r="I105" s="28">
        <v>0</v>
      </c>
    </row>
    <row r="106" spans="1:9" x14ac:dyDescent="0.25">
      <c r="A106" s="33">
        <v>20</v>
      </c>
      <c r="B106" s="27">
        <v>45065</v>
      </c>
      <c r="C106" s="23">
        <v>17</v>
      </c>
      <c r="D106" s="23">
        <v>1</v>
      </c>
      <c r="E106" s="23">
        <v>15</v>
      </c>
      <c r="F106" s="23">
        <v>1</v>
      </c>
      <c r="G106" s="23">
        <v>0</v>
      </c>
      <c r="H106" s="23">
        <v>0</v>
      </c>
      <c r="I106" s="28">
        <v>0</v>
      </c>
    </row>
    <row r="107" spans="1:9" x14ac:dyDescent="0.25">
      <c r="A107" s="33">
        <v>21</v>
      </c>
      <c r="B107" s="27">
        <v>45072</v>
      </c>
      <c r="C107" s="23">
        <v>11</v>
      </c>
      <c r="D107" s="23">
        <v>0</v>
      </c>
      <c r="E107" s="23">
        <v>9</v>
      </c>
      <c r="F107" s="23">
        <v>0</v>
      </c>
      <c r="G107" s="23">
        <v>2</v>
      </c>
      <c r="H107" s="23">
        <v>0</v>
      </c>
      <c r="I107" s="28">
        <v>0</v>
      </c>
    </row>
    <row r="108" spans="1:9" x14ac:dyDescent="0.25">
      <c r="A108" s="33">
        <v>22</v>
      </c>
      <c r="B108" s="27">
        <v>45079</v>
      </c>
      <c r="C108" s="23">
        <v>12</v>
      </c>
      <c r="D108" s="23">
        <v>0</v>
      </c>
      <c r="E108" s="23">
        <v>12</v>
      </c>
      <c r="F108" s="23">
        <v>0</v>
      </c>
      <c r="G108" s="23">
        <v>0</v>
      </c>
      <c r="H108" s="23">
        <v>0</v>
      </c>
      <c r="I108" s="28">
        <v>0</v>
      </c>
    </row>
    <row r="109" spans="1:9" x14ac:dyDescent="0.25">
      <c r="A109" s="33">
        <v>23</v>
      </c>
      <c r="B109" s="27">
        <v>45086</v>
      </c>
      <c r="C109" s="23">
        <v>16</v>
      </c>
      <c r="D109" s="23">
        <v>1</v>
      </c>
      <c r="E109" s="23">
        <v>14</v>
      </c>
      <c r="F109" s="23">
        <v>0</v>
      </c>
      <c r="G109" s="23">
        <v>0</v>
      </c>
      <c r="H109" s="23">
        <v>1</v>
      </c>
      <c r="I109" s="28">
        <v>0</v>
      </c>
    </row>
    <row r="110" spans="1:9" x14ac:dyDescent="0.25">
      <c r="A110" s="33">
        <v>24</v>
      </c>
      <c r="B110" s="27">
        <v>45093</v>
      </c>
      <c r="C110" s="23">
        <v>7</v>
      </c>
      <c r="D110" s="23">
        <v>0</v>
      </c>
      <c r="E110" s="23">
        <v>5</v>
      </c>
      <c r="F110" s="23">
        <v>0</v>
      </c>
      <c r="G110" s="23">
        <v>1</v>
      </c>
      <c r="H110" s="23">
        <v>0</v>
      </c>
      <c r="I110" s="28">
        <v>1</v>
      </c>
    </row>
    <row r="111" spans="1:9" x14ac:dyDescent="0.25">
      <c r="A111" s="33">
        <v>25</v>
      </c>
      <c r="B111" s="27">
        <v>45100</v>
      </c>
      <c r="C111" s="23">
        <v>13</v>
      </c>
      <c r="D111" s="23">
        <v>1</v>
      </c>
      <c r="E111" s="23">
        <v>12</v>
      </c>
      <c r="F111" s="23">
        <v>0</v>
      </c>
      <c r="G111" s="23">
        <v>0</v>
      </c>
      <c r="H111" s="23">
        <v>0</v>
      </c>
      <c r="I111" s="28">
        <v>0</v>
      </c>
    </row>
    <row r="112" spans="1:9" x14ac:dyDescent="0.25">
      <c r="A112" s="33">
        <v>26</v>
      </c>
      <c r="B112" s="27">
        <v>45107</v>
      </c>
      <c r="C112" s="23">
        <v>7</v>
      </c>
      <c r="D112" s="23">
        <v>1</v>
      </c>
      <c r="E112" s="23">
        <v>6</v>
      </c>
      <c r="F112" s="23">
        <v>0</v>
      </c>
      <c r="G112" s="23">
        <v>0</v>
      </c>
      <c r="H112" s="23">
        <v>0</v>
      </c>
      <c r="I112" s="28">
        <v>0</v>
      </c>
    </row>
    <row r="113" spans="1:9" x14ac:dyDescent="0.25">
      <c r="A113" s="33">
        <v>27</v>
      </c>
      <c r="B113" s="27">
        <v>45114</v>
      </c>
      <c r="C113" s="23">
        <v>4</v>
      </c>
      <c r="D113" s="23">
        <v>0</v>
      </c>
      <c r="E113" s="23">
        <v>4</v>
      </c>
      <c r="F113" s="23">
        <v>0</v>
      </c>
      <c r="G113" s="23">
        <v>0</v>
      </c>
      <c r="H113" s="23">
        <v>0</v>
      </c>
      <c r="I113" s="28">
        <v>0</v>
      </c>
    </row>
    <row r="114" spans="1:9" x14ac:dyDescent="0.25">
      <c r="A114" s="33">
        <v>28</v>
      </c>
      <c r="B114" s="27">
        <v>45121</v>
      </c>
      <c r="C114" s="23">
        <v>4</v>
      </c>
      <c r="D114" s="23">
        <v>0</v>
      </c>
      <c r="E114" s="23">
        <v>4</v>
      </c>
      <c r="F114" s="23">
        <v>0</v>
      </c>
      <c r="G114" s="23">
        <v>0</v>
      </c>
      <c r="H114" s="23">
        <v>0</v>
      </c>
      <c r="I114" s="28">
        <v>0</v>
      </c>
    </row>
    <row r="115" spans="1:9" x14ac:dyDescent="0.25">
      <c r="A115" s="33">
        <v>29</v>
      </c>
      <c r="B115" s="27">
        <v>45128</v>
      </c>
      <c r="C115" s="23">
        <v>9</v>
      </c>
      <c r="D115" s="23">
        <v>0</v>
      </c>
      <c r="E115" s="23">
        <v>9</v>
      </c>
      <c r="F115" s="23">
        <v>0</v>
      </c>
      <c r="G115" s="23">
        <v>0</v>
      </c>
      <c r="H115" s="23">
        <v>0</v>
      </c>
      <c r="I115" s="28">
        <v>0</v>
      </c>
    </row>
    <row r="116" spans="1:9" x14ac:dyDescent="0.25">
      <c r="A116" s="33">
        <v>30</v>
      </c>
      <c r="B116" s="27">
        <v>45135</v>
      </c>
      <c r="C116" s="23">
        <v>8</v>
      </c>
      <c r="D116" s="23">
        <v>0</v>
      </c>
      <c r="E116" s="23">
        <v>7</v>
      </c>
      <c r="F116" s="23">
        <v>0</v>
      </c>
      <c r="G116" s="23">
        <v>1</v>
      </c>
      <c r="H116" s="23">
        <v>0</v>
      </c>
      <c r="I116" s="28">
        <v>0</v>
      </c>
    </row>
    <row r="117" spans="1:9" x14ac:dyDescent="0.25">
      <c r="A117" s="33">
        <v>31</v>
      </c>
      <c r="B117" s="27">
        <v>45142</v>
      </c>
      <c r="C117" s="23">
        <v>3</v>
      </c>
      <c r="D117" s="23">
        <v>0</v>
      </c>
      <c r="E117" s="23">
        <v>3</v>
      </c>
      <c r="F117" s="23">
        <v>0</v>
      </c>
      <c r="G117" s="23">
        <v>0</v>
      </c>
      <c r="H117" s="23">
        <v>0</v>
      </c>
      <c r="I117" s="28">
        <v>0</v>
      </c>
    </row>
    <row r="118" spans="1:9" x14ac:dyDescent="0.25">
      <c r="A118" s="33">
        <v>32</v>
      </c>
      <c r="B118" s="27">
        <v>45149</v>
      </c>
      <c r="C118" s="23">
        <v>7</v>
      </c>
      <c r="D118" s="23">
        <v>0</v>
      </c>
      <c r="E118" s="23">
        <v>6</v>
      </c>
      <c r="F118" s="23">
        <v>0</v>
      </c>
      <c r="G118" s="23">
        <v>1</v>
      </c>
      <c r="H118" s="23">
        <v>0</v>
      </c>
      <c r="I118" s="28">
        <v>0</v>
      </c>
    </row>
    <row r="119" spans="1:9" x14ac:dyDescent="0.25">
      <c r="A119" s="33">
        <v>33</v>
      </c>
      <c r="B119" s="27">
        <v>45156</v>
      </c>
      <c r="C119" s="23">
        <v>10</v>
      </c>
      <c r="D119" s="23">
        <v>2</v>
      </c>
      <c r="E119" s="23">
        <v>7</v>
      </c>
      <c r="F119" s="23">
        <v>0</v>
      </c>
      <c r="G119" s="23">
        <v>1</v>
      </c>
      <c r="H119" s="23">
        <v>0</v>
      </c>
      <c r="I119" s="28">
        <v>0</v>
      </c>
    </row>
    <row r="120" spans="1:9" x14ac:dyDescent="0.25">
      <c r="A120" s="33">
        <v>34</v>
      </c>
      <c r="B120" s="27">
        <v>45163</v>
      </c>
      <c r="C120" s="23">
        <v>25</v>
      </c>
      <c r="D120" s="23">
        <v>0</v>
      </c>
      <c r="E120" s="23">
        <v>23</v>
      </c>
      <c r="F120" s="23">
        <v>0</v>
      </c>
      <c r="G120" s="23">
        <v>2</v>
      </c>
      <c r="H120" s="23">
        <v>0</v>
      </c>
      <c r="I120" s="28">
        <v>0</v>
      </c>
    </row>
    <row r="121" spans="1:9" x14ac:dyDescent="0.25">
      <c r="A121" s="33">
        <v>35</v>
      </c>
      <c r="B121" s="27">
        <v>45170</v>
      </c>
      <c r="C121" s="23">
        <v>18</v>
      </c>
      <c r="D121" s="23">
        <v>1</v>
      </c>
      <c r="E121" s="23">
        <v>15</v>
      </c>
      <c r="F121" s="23">
        <v>0</v>
      </c>
      <c r="G121" s="23">
        <v>2</v>
      </c>
      <c r="H121" s="23">
        <v>0</v>
      </c>
      <c r="I121" s="28">
        <v>0</v>
      </c>
    </row>
    <row r="122" spans="1:9" x14ac:dyDescent="0.25">
      <c r="A122" s="34"/>
      <c r="B122" s="10"/>
      <c r="C122" s="22"/>
      <c r="D122" s="22"/>
      <c r="E122" s="22"/>
      <c r="F122" s="22"/>
      <c r="G122" s="22"/>
      <c r="H122" s="22"/>
      <c r="I122" s="22"/>
    </row>
    <row r="123" spans="1:9" x14ac:dyDescent="0.25">
      <c r="A123" s="33"/>
    </row>
    <row r="124" spans="1:9" x14ac:dyDescent="0.25">
      <c r="A124" s="33"/>
    </row>
    <row r="125" spans="1:9" x14ac:dyDescent="0.25">
      <c r="A125" s="33"/>
    </row>
    <row r="126" spans="1:9" x14ac:dyDescent="0.25">
      <c r="A126" s="33"/>
    </row>
    <row r="127" spans="1:9" x14ac:dyDescent="0.25">
      <c r="A127" s="33"/>
    </row>
    <row r="128" spans="1:9" x14ac:dyDescent="0.25">
      <c r="A128" s="33"/>
    </row>
    <row r="129" spans="1:1" x14ac:dyDescent="0.25">
      <c r="A129" s="33"/>
    </row>
    <row r="130" spans="1:1" x14ac:dyDescent="0.25">
      <c r="A130" s="33"/>
    </row>
    <row r="131" spans="1:1" x14ac:dyDescent="0.25">
      <c r="A131" s="33"/>
    </row>
    <row r="132" spans="1:1" x14ac:dyDescent="0.25">
      <c r="A132" s="33"/>
    </row>
    <row r="133" spans="1:1" x14ac:dyDescent="0.25">
      <c r="A133" s="33"/>
    </row>
    <row r="134" spans="1:1" x14ac:dyDescent="0.25">
      <c r="A134" s="33"/>
    </row>
    <row r="135" spans="1:1" x14ac:dyDescent="0.25">
      <c r="A135" s="33"/>
    </row>
    <row r="136" spans="1:1" x14ac:dyDescent="0.25">
      <c r="A136" s="33"/>
    </row>
    <row r="137" spans="1:1" x14ac:dyDescent="0.25">
      <c r="A137" s="33"/>
    </row>
    <row r="138" spans="1:1" x14ac:dyDescent="0.25">
      <c r="A138" s="33"/>
    </row>
    <row r="139" spans="1:1" x14ac:dyDescent="0.25">
      <c r="A139" s="33"/>
    </row>
    <row r="140" spans="1:1" x14ac:dyDescent="0.25">
      <c r="A140" s="33"/>
    </row>
    <row r="141" spans="1:1" x14ac:dyDescent="0.25">
      <c r="A141" s="33"/>
    </row>
    <row r="142" spans="1:1" x14ac:dyDescent="0.25">
      <c r="A142" s="33"/>
    </row>
    <row r="143" spans="1:1" x14ac:dyDescent="0.25">
      <c r="A143" s="33"/>
    </row>
    <row r="144" spans="1:1" x14ac:dyDescent="0.25">
      <c r="A144" s="33"/>
    </row>
    <row r="145" spans="1:1" x14ac:dyDescent="0.25">
      <c r="A145" s="33"/>
    </row>
    <row r="146" spans="1:1" x14ac:dyDescent="0.25">
      <c r="A146" s="33"/>
    </row>
    <row r="147" spans="1:1" x14ac:dyDescent="0.25">
      <c r="A147" s="33"/>
    </row>
    <row r="148" spans="1:1" x14ac:dyDescent="0.25">
      <c r="A148" s="33"/>
    </row>
    <row r="149" spans="1:1" x14ac:dyDescent="0.25">
      <c r="A149" s="33"/>
    </row>
    <row r="150" spans="1:1" x14ac:dyDescent="0.25">
      <c r="A150" s="33"/>
    </row>
    <row r="151" spans="1:1" x14ac:dyDescent="0.25">
      <c r="A151" s="33"/>
    </row>
  </sheetData>
  <sheetProtection sheet="1" formatCells="0" formatColumns="0"/>
  <pageMargins left="0.7" right="0.7" top="0.75" bottom="0.75" header="0.3" footer="0.3"/>
  <pageSetup paperSize="9" orientation="portrait" horizontalDpi="300" verticalDpi="300"/>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7" ma:contentTypeDescription="Create a new document." ma:contentTypeScope="" ma:versionID="48954b20434f995ee8a3619264da273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a36865e48708c1a88d13014009112cc"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TRCK-1580</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6576</ReferenceId>
    <SectionName xmlns="1e572c8d-6813-4013-8a4a-be491ac59459">Change Log</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FFA19C04-3215-4B88-8973-5E6DDEB32344}"/>
</file>

<file path=customXml/itemProps2.xml><?xml version="1.0" encoding="utf-8"?>
<ds:datastoreItem xmlns:ds="http://schemas.openxmlformats.org/officeDocument/2006/customXml" ds:itemID="{E89A7FB0-A3D2-4176-A534-B67400916A11}">
  <ds:schemaRefs>
    <ds:schemaRef ds:uri="http://schemas.microsoft.com/sharepoint/v3/contenttype/forms"/>
  </ds:schemaRefs>
</ds:datastoreItem>
</file>

<file path=customXml/itemProps3.xml><?xml version="1.0" encoding="utf-8"?>
<ds:datastoreItem xmlns:ds="http://schemas.openxmlformats.org/officeDocument/2006/customXml" ds:itemID="{8C6DC9F6-98B7-4382-9587-B18CE424B9A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Cover sheet</vt:lpstr>
      <vt:lpstr>Contents</vt:lpstr>
      <vt:lpstr>Notes</vt:lpstr>
      <vt:lpstr>1</vt:lpstr>
      <vt:lpstr>2</vt:lpstr>
      <vt:lpstr>3</vt:lpstr>
      <vt:lpstr>4</vt:lpstr>
      <vt:lpstr>5</vt:lpstr>
      <vt:lpstr>6</vt:lpstr>
      <vt:lpstr>7</vt:lpstr>
      <vt:lpstr>8</vt:lpstr>
      <vt:lpstr>9</vt:lpstr>
      <vt:lpstr>10</vt:lpstr>
      <vt:lpstr>11</vt:lpstr>
      <vt:lpstr>12a</vt:lpstr>
      <vt:lpstr>12b</vt:lpstr>
      <vt:lpstr>13</vt:lpstr>
      <vt:lpstr>14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cookea</dc:creator>
  <cp:keywords/>
  <dc:description/>
  <cp:lastModifiedBy>Cooke, Alexander</cp:lastModifiedBy>
  <cp:revision/>
  <dcterms:created xsi:type="dcterms:W3CDTF">2023-09-07T09:07:59Z</dcterms:created>
  <dcterms:modified xsi:type="dcterms:W3CDTF">2023-09-11T12:42:12Z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